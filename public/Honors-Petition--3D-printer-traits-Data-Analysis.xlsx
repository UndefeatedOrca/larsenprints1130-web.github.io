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/>
  <mc:AlternateContent xmlns:mc="http://schemas.openxmlformats.org/markup-compatibility/2006">
    <mc:Choice Requires="x15">
      <x15ac:absPath xmlns:x15ac="http://schemas.microsoft.com/office/spreadsheetml/2010/11/ac" url="https://libertyuniv-my.sharepoint.com/personal/lmhale3_liberty_edu/Documents/ENGR 330/"/>
    </mc:Choice>
  </mc:AlternateContent>
  <xr:revisionPtr revIDLastSave="0" documentId="8_{51FE3E9B-8E30-F943-B47B-12F68F5AA7BB}" xr6:coauthVersionLast="47" xr6:coauthVersionMax="47" xr10:uidLastSave="{00000000-0000-0000-0000-000000000000}"/>
  <bookViews>
    <workbookView xWindow="-120" yWindow="-120" windowWidth="29040" windowHeight="15720" tabRatio="989" firstSheet="14" activeTab="19" xr2:uid="{A382849C-DBB5-45E9-841A-8374A91C09D9}"/>
  </bookViews>
  <sheets>
    <sheet name="ABS" sheetId="2" r:id="rId1"/>
    <sheet name="PLA" sheetId="3" r:id="rId2"/>
    <sheet name="PETG" sheetId="4" r:id="rId3"/>
    <sheet name="Index Chart" sheetId="13" state="hidden" r:id="rId4"/>
    <sheet name="Infill Style Comparison - UTS" sheetId="5" r:id="rId5"/>
    <sheet name="Infill Style Comparison - MoE" sheetId="18" r:id="rId6"/>
    <sheet name="Infill Style Comparison - MoR" sheetId="17" r:id="rId7"/>
    <sheet name="Infill Style Comparison - YS" sheetId="15" r:id="rId8"/>
    <sheet name="Infill Density Comparison - UTS" sheetId="6" r:id="rId9"/>
    <sheet name="Infill Density Comparison - MoE" sheetId="19" r:id="rId10"/>
    <sheet name="Infill Density Comparison - MoR" sheetId="20" r:id="rId11"/>
    <sheet name="Infill Density Comparison - YS" sheetId="7" r:id="rId12"/>
    <sheet name="Material Comparison - UTS" sheetId="8" r:id="rId13"/>
    <sheet name="Material Comparison - MoE" sheetId="22" r:id="rId14"/>
    <sheet name="Material Comparison - MoR" sheetId="23" r:id="rId15"/>
    <sheet name="Material Comparison - YS" sheetId="24" r:id="rId16"/>
    <sheet name="Perimeter Comparison - UTS" sheetId="16" r:id="rId17"/>
    <sheet name="Perimeter Comparison - MoE" sheetId="25" r:id="rId18"/>
    <sheet name="Perimeter Comparison - MoR" sheetId="26" r:id="rId19"/>
    <sheet name="Perimeter Comparison - YS" sheetId="27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2" l="1"/>
  <c r="B18" i="27"/>
  <c r="B17" i="27"/>
  <c r="B17" i="26"/>
  <c r="B18" i="25"/>
  <c r="B17" i="25"/>
  <c r="B18" i="16"/>
  <c r="B17" i="16"/>
  <c r="B18" i="26"/>
  <c r="U4" i="16" a="1"/>
  <c r="U4" i="16"/>
  <c r="V4" i="16" a="1"/>
  <c r="V4" i="16"/>
  <c r="U10" i="16" a="1"/>
  <c r="U10" i="16"/>
  <c r="V10" i="16" a="1"/>
  <c r="V10" i="16"/>
  <c r="U16" i="16" a="1"/>
  <c r="U16" i="16"/>
  <c r="V16" i="16" a="1"/>
  <c r="V16" i="16"/>
  <c r="K15" i="27"/>
  <c r="J15" i="27"/>
  <c r="G15" i="27"/>
  <c r="F15" i="27"/>
  <c r="C15" i="27"/>
  <c r="B15" i="27"/>
  <c r="K14" i="27"/>
  <c r="J14" i="27"/>
  <c r="G14" i="27"/>
  <c r="F14" i="27"/>
  <c r="C14" i="27"/>
  <c r="B14" i="27"/>
  <c r="K13" i="27"/>
  <c r="J13" i="27"/>
  <c r="G13" i="27"/>
  <c r="F13" i="27"/>
  <c r="C13" i="27"/>
  <c r="M13" i="27"/>
  <c r="B13" i="27"/>
  <c r="K12" i="27"/>
  <c r="J12" i="27"/>
  <c r="G12" i="27"/>
  <c r="F12" i="27"/>
  <c r="C12" i="27"/>
  <c r="B12" i="27"/>
  <c r="K11" i="27"/>
  <c r="J11" i="27"/>
  <c r="G11" i="27"/>
  <c r="F11" i="27"/>
  <c r="C11" i="27"/>
  <c r="B11" i="27"/>
  <c r="K10" i="27"/>
  <c r="J10" i="27"/>
  <c r="G10" i="27"/>
  <c r="F10" i="27"/>
  <c r="C10" i="27"/>
  <c r="B10" i="27"/>
  <c r="K9" i="27"/>
  <c r="O9" i="27"/>
  <c r="J9" i="27"/>
  <c r="G9" i="27"/>
  <c r="F9" i="27"/>
  <c r="C9" i="27"/>
  <c r="B9" i="27"/>
  <c r="K8" i="27"/>
  <c r="J8" i="27"/>
  <c r="G8" i="27"/>
  <c r="N8" i="27"/>
  <c r="F8" i="27"/>
  <c r="C8" i="27"/>
  <c r="B8" i="27"/>
  <c r="K7" i="27"/>
  <c r="O7" i="27"/>
  <c r="J7" i="27"/>
  <c r="G7" i="27"/>
  <c r="F7" i="27"/>
  <c r="C7" i="27"/>
  <c r="B7" i="27"/>
  <c r="K6" i="27"/>
  <c r="O6" i="27"/>
  <c r="J6" i="27"/>
  <c r="G6" i="27"/>
  <c r="N6" i="27"/>
  <c r="F6" i="27"/>
  <c r="C6" i="27"/>
  <c r="B6" i="27"/>
  <c r="M5" i="27"/>
  <c r="K5" i="27"/>
  <c r="O5" i="27"/>
  <c r="J5" i="27"/>
  <c r="G5" i="27"/>
  <c r="N5" i="27"/>
  <c r="F5" i="27"/>
  <c r="C5" i="27"/>
  <c r="B5" i="27"/>
  <c r="K4" i="27"/>
  <c r="J4" i="27"/>
  <c r="G4" i="27"/>
  <c r="U10" i="27" a="1"/>
  <c r="U10" i="27"/>
  <c r="F4" i="27"/>
  <c r="C4" i="27"/>
  <c r="M4" i="27"/>
  <c r="B4" i="27"/>
  <c r="K15" i="26"/>
  <c r="J15" i="26"/>
  <c r="G15" i="26"/>
  <c r="F15" i="26"/>
  <c r="C15" i="26"/>
  <c r="B15" i="26"/>
  <c r="K14" i="26"/>
  <c r="J14" i="26"/>
  <c r="G14" i="26"/>
  <c r="F14" i="26"/>
  <c r="C14" i="26"/>
  <c r="M14" i="26"/>
  <c r="B14" i="26"/>
  <c r="K13" i="26"/>
  <c r="J13" i="26"/>
  <c r="G13" i="26"/>
  <c r="N13" i="26"/>
  <c r="F13" i="26"/>
  <c r="C13" i="26"/>
  <c r="B13" i="26"/>
  <c r="K12" i="26"/>
  <c r="J12" i="26"/>
  <c r="G12" i="26"/>
  <c r="N12" i="26"/>
  <c r="F12" i="26"/>
  <c r="C12" i="26"/>
  <c r="M12" i="26"/>
  <c r="B12" i="26"/>
  <c r="K11" i="26"/>
  <c r="O11" i="26"/>
  <c r="J11" i="26"/>
  <c r="G11" i="26"/>
  <c r="N11" i="26"/>
  <c r="F11" i="26"/>
  <c r="C11" i="26"/>
  <c r="B11" i="26"/>
  <c r="K10" i="26"/>
  <c r="O10" i="26"/>
  <c r="J10" i="26"/>
  <c r="G10" i="26"/>
  <c r="N10" i="26"/>
  <c r="F10" i="26"/>
  <c r="C10" i="26"/>
  <c r="B10" i="26"/>
  <c r="K9" i="26"/>
  <c r="O9" i="26"/>
  <c r="J9" i="26"/>
  <c r="G9" i="26"/>
  <c r="N9" i="26"/>
  <c r="F9" i="26"/>
  <c r="C9" i="26"/>
  <c r="B9" i="26"/>
  <c r="K8" i="26"/>
  <c r="O8" i="26"/>
  <c r="J8" i="26"/>
  <c r="G8" i="26"/>
  <c r="N8" i="26"/>
  <c r="F8" i="26"/>
  <c r="C8" i="26"/>
  <c r="B8" i="26"/>
  <c r="K7" i="26"/>
  <c r="J7" i="26"/>
  <c r="G7" i="26"/>
  <c r="N7" i="26"/>
  <c r="F7" i="26"/>
  <c r="C7" i="26"/>
  <c r="B7" i="26"/>
  <c r="K6" i="26"/>
  <c r="J6" i="26"/>
  <c r="G6" i="26"/>
  <c r="F6" i="26"/>
  <c r="C6" i="26"/>
  <c r="B6" i="26"/>
  <c r="K5" i="26"/>
  <c r="J5" i="26"/>
  <c r="G5" i="26"/>
  <c r="F5" i="26"/>
  <c r="C5" i="26"/>
  <c r="B5" i="26"/>
  <c r="K4" i="26"/>
  <c r="J4" i="26"/>
  <c r="G4" i="26"/>
  <c r="F4" i="26"/>
  <c r="C4" i="26"/>
  <c r="B4" i="26"/>
  <c r="K15" i="25"/>
  <c r="J15" i="25"/>
  <c r="G15" i="25"/>
  <c r="F15" i="25"/>
  <c r="C15" i="25"/>
  <c r="B15" i="25"/>
  <c r="K14" i="25"/>
  <c r="J14" i="25"/>
  <c r="G14" i="25"/>
  <c r="F14" i="25"/>
  <c r="C14" i="25"/>
  <c r="B14" i="25"/>
  <c r="K13" i="25"/>
  <c r="J13" i="25"/>
  <c r="G13" i="25"/>
  <c r="F13" i="25"/>
  <c r="C13" i="25"/>
  <c r="B13" i="25"/>
  <c r="K12" i="25"/>
  <c r="O12" i="25"/>
  <c r="J12" i="25"/>
  <c r="G12" i="25"/>
  <c r="F12" i="25"/>
  <c r="C12" i="25"/>
  <c r="M12" i="25"/>
  <c r="B12" i="25"/>
  <c r="M11" i="25"/>
  <c r="K11" i="25"/>
  <c r="O11" i="25"/>
  <c r="J11" i="25"/>
  <c r="G11" i="25"/>
  <c r="F11" i="25"/>
  <c r="C11" i="25"/>
  <c r="B11" i="25"/>
  <c r="K10" i="25"/>
  <c r="J10" i="25"/>
  <c r="G10" i="25"/>
  <c r="N10" i="25"/>
  <c r="F10" i="25"/>
  <c r="C10" i="25"/>
  <c r="B10" i="25"/>
  <c r="K9" i="25"/>
  <c r="O9" i="25"/>
  <c r="J9" i="25"/>
  <c r="G9" i="25"/>
  <c r="F9" i="25"/>
  <c r="C9" i="25"/>
  <c r="B9" i="25"/>
  <c r="K8" i="25"/>
  <c r="J8" i="25"/>
  <c r="G8" i="25"/>
  <c r="F8" i="25"/>
  <c r="C8" i="25"/>
  <c r="B8" i="25"/>
  <c r="N7" i="25"/>
  <c r="K7" i="25"/>
  <c r="O7" i="25"/>
  <c r="J7" i="25"/>
  <c r="G7" i="25"/>
  <c r="F7" i="25"/>
  <c r="C7" i="25"/>
  <c r="M7" i="25"/>
  <c r="B7" i="25"/>
  <c r="K6" i="25"/>
  <c r="J6" i="25"/>
  <c r="G6" i="25"/>
  <c r="F6" i="25"/>
  <c r="C6" i="25"/>
  <c r="B6" i="25"/>
  <c r="K5" i="25"/>
  <c r="O5" i="25"/>
  <c r="J5" i="25"/>
  <c r="G5" i="25"/>
  <c r="F5" i="25"/>
  <c r="C5" i="25"/>
  <c r="M5" i="25"/>
  <c r="B5" i="25"/>
  <c r="K4" i="25"/>
  <c r="J4" i="25"/>
  <c r="G4" i="25"/>
  <c r="F4" i="25"/>
  <c r="C4" i="25"/>
  <c r="B4" i="25"/>
  <c r="K18" i="24"/>
  <c r="O18" i="24"/>
  <c r="J18" i="24"/>
  <c r="G18" i="24"/>
  <c r="N18" i="24"/>
  <c r="F18" i="24"/>
  <c r="C18" i="24"/>
  <c r="M18" i="24"/>
  <c r="B18" i="24"/>
  <c r="K17" i="24"/>
  <c r="O17" i="24"/>
  <c r="J17" i="24"/>
  <c r="G17" i="24"/>
  <c r="N17" i="24"/>
  <c r="F17" i="24"/>
  <c r="C17" i="24"/>
  <c r="M17" i="24"/>
  <c r="B17" i="24"/>
  <c r="K16" i="24"/>
  <c r="O16" i="24"/>
  <c r="J16" i="24"/>
  <c r="G16" i="24"/>
  <c r="N16" i="24"/>
  <c r="F16" i="24"/>
  <c r="C16" i="24"/>
  <c r="M16" i="24"/>
  <c r="B16" i="24"/>
  <c r="K15" i="24"/>
  <c r="O15" i="24"/>
  <c r="J15" i="24"/>
  <c r="G15" i="24"/>
  <c r="N15" i="24"/>
  <c r="F15" i="24"/>
  <c r="C15" i="24"/>
  <c r="M15" i="24"/>
  <c r="B15" i="24"/>
  <c r="O14" i="24"/>
  <c r="N14" i="24"/>
  <c r="K14" i="24"/>
  <c r="J14" i="24"/>
  <c r="G14" i="24"/>
  <c r="F14" i="24"/>
  <c r="C14" i="24"/>
  <c r="M14" i="24"/>
  <c r="B14" i="24"/>
  <c r="K13" i="24"/>
  <c r="O13" i="24"/>
  <c r="J13" i="24"/>
  <c r="G13" i="24"/>
  <c r="N13" i="24"/>
  <c r="F13" i="24"/>
  <c r="C13" i="24"/>
  <c r="M13" i="24"/>
  <c r="B13" i="24"/>
  <c r="K12" i="24"/>
  <c r="O12" i="24"/>
  <c r="J12" i="24"/>
  <c r="G12" i="24"/>
  <c r="N12" i="24"/>
  <c r="F12" i="24"/>
  <c r="C12" i="24"/>
  <c r="M12" i="24"/>
  <c r="B12" i="24"/>
  <c r="K11" i="24"/>
  <c r="O11" i="24"/>
  <c r="J11" i="24"/>
  <c r="G11" i="24"/>
  <c r="N11" i="24"/>
  <c r="F11" i="24"/>
  <c r="C11" i="24"/>
  <c r="M11" i="24"/>
  <c r="B11" i="24"/>
  <c r="K10" i="24"/>
  <c r="O10" i="24"/>
  <c r="J10" i="24"/>
  <c r="G10" i="24"/>
  <c r="N10" i="24"/>
  <c r="F10" i="24"/>
  <c r="C10" i="24"/>
  <c r="M10" i="24"/>
  <c r="B10" i="24"/>
  <c r="K9" i="24"/>
  <c r="O9" i="24"/>
  <c r="J9" i="24"/>
  <c r="G9" i="24"/>
  <c r="N9" i="24"/>
  <c r="F9" i="24"/>
  <c r="C9" i="24"/>
  <c r="M9" i="24"/>
  <c r="B9" i="24"/>
  <c r="K8" i="24"/>
  <c r="O8" i="24"/>
  <c r="J8" i="24"/>
  <c r="G8" i="24"/>
  <c r="N8" i="24"/>
  <c r="F8" i="24"/>
  <c r="C8" i="24"/>
  <c r="M8" i="24"/>
  <c r="B8" i="24"/>
  <c r="K7" i="24"/>
  <c r="O7" i="24"/>
  <c r="J7" i="24"/>
  <c r="G7" i="24"/>
  <c r="N7" i="24"/>
  <c r="F7" i="24"/>
  <c r="C7" i="24"/>
  <c r="M7" i="24"/>
  <c r="B7" i="24"/>
  <c r="K6" i="24"/>
  <c r="O6" i="24"/>
  <c r="J6" i="24"/>
  <c r="G6" i="24"/>
  <c r="N6" i="24"/>
  <c r="F6" i="24"/>
  <c r="C6" i="24"/>
  <c r="M6" i="24"/>
  <c r="B6" i="24"/>
  <c r="N5" i="24"/>
  <c r="K5" i="24"/>
  <c r="O5" i="24"/>
  <c r="J5" i="24"/>
  <c r="G5" i="24"/>
  <c r="F5" i="24"/>
  <c r="C5" i="24"/>
  <c r="M5" i="24"/>
  <c r="B5" i="24"/>
  <c r="K4" i="24"/>
  <c r="O4" i="24"/>
  <c r="J4" i="24"/>
  <c r="G4" i="24"/>
  <c r="F4" i="24"/>
  <c r="C4" i="24"/>
  <c r="B4" i="24"/>
  <c r="O18" i="23"/>
  <c r="K18" i="23"/>
  <c r="J18" i="23"/>
  <c r="G18" i="23"/>
  <c r="N18" i="23"/>
  <c r="F18" i="23"/>
  <c r="C18" i="23"/>
  <c r="M18" i="23"/>
  <c r="B18" i="23"/>
  <c r="K17" i="23"/>
  <c r="O17" i="23"/>
  <c r="J17" i="23"/>
  <c r="G17" i="23"/>
  <c r="N17" i="23"/>
  <c r="F17" i="23"/>
  <c r="C17" i="23"/>
  <c r="M17" i="23"/>
  <c r="B17" i="23"/>
  <c r="N16" i="23"/>
  <c r="M16" i="23"/>
  <c r="K16" i="23"/>
  <c r="O16" i="23"/>
  <c r="J16" i="23"/>
  <c r="G16" i="23"/>
  <c r="F16" i="23"/>
  <c r="C16" i="23"/>
  <c r="B16" i="23"/>
  <c r="K15" i="23"/>
  <c r="O15" i="23"/>
  <c r="J15" i="23"/>
  <c r="G15" i="23"/>
  <c r="N15" i="23"/>
  <c r="F15" i="23"/>
  <c r="C15" i="23"/>
  <c r="M15" i="23"/>
  <c r="B15" i="23"/>
  <c r="K14" i="23"/>
  <c r="O14" i="23"/>
  <c r="J14" i="23"/>
  <c r="G14" i="23"/>
  <c r="N14" i="23"/>
  <c r="F14" i="23"/>
  <c r="C14" i="23"/>
  <c r="M14" i="23"/>
  <c r="B14" i="23"/>
  <c r="M13" i="23"/>
  <c r="K13" i="23"/>
  <c r="O13" i="23"/>
  <c r="J13" i="23"/>
  <c r="G13" i="23"/>
  <c r="N13" i="23"/>
  <c r="F13" i="23"/>
  <c r="C13" i="23"/>
  <c r="B13" i="23"/>
  <c r="O12" i="23"/>
  <c r="K12" i="23"/>
  <c r="J12" i="23"/>
  <c r="G12" i="23"/>
  <c r="N12" i="23"/>
  <c r="F12" i="23"/>
  <c r="C12" i="23"/>
  <c r="M12" i="23"/>
  <c r="B12" i="23"/>
  <c r="K11" i="23"/>
  <c r="O11" i="23"/>
  <c r="J11" i="23"/>
  <c r="G11" i="23"/>
  <c r="N11" i="23"/>
  <c r="F11" i="23"/>
  <c r="C11" i="23"/>
  <c r="M11" i="23"/>
  <c r="B11" i="23"/>
  <c r="M10" i="23"/>
  <c r="K10" i="23"/>
  <c r="O10" i="23"/>
  <c r="J10" i="23"/>
  <c r="G10" i="23"/>
  <c r="N10" i="23"/>
  <c r="F10" i="23"/>
  <c r="C10" i="23"/>
  <c r="B10" i="23"/>
  <c r="K9" i="23"/>
  <c r="O9" i="23"/>
  <c r="J9" i="23"/>
  <c r="G9" i="23"/>
  <c r="N9" i="23"/>
  <c r="F9" i="23"/>
  <c r="C9" i="23"/>
  <c r="M9" i="23"/>
  <c r="B9" i="23"/>
  <c r="N8" i="23"/>
  <c r="K8" i="23"/>
  <c r="O8" i="23"/>
  <c r="J8" i="23"/>
  <c r="G8" i="23"/>
  <c r="F8" i="23"/>
  <c r="C8" i="23"/>
  <c r="M8" i="23"/>
  <c r="B8" i="23"/>
  <c r="K7" i="23"/>
  <c r="O7" i="23"/>
  <c r="J7" i="23"/>
  <c r="G7" i="23"/>
  <c r="N7" i="23"/>
  <c r="F7" i="23"/>
  <c r="C7" i="23"/>
  <c r="M7" i="23"/>
  <c r="B7" i="23"/>
  <c r="N6" i="23"/>
  <c r="K6" i="23"/>
  <c r="O6" i="23"/>
  <c r="J6" i="23"/>
  <c r="G6" i="23"/>
  <c r="F6" i="23"/>
  <c r="C6" i="23"/>
  <c r="M6" i="23"/>
  <c r="B6" i="23"/>
  <c r="K5" i="23"/>
  <c r="O5" i="23"/>
  <c r="J5" i="23"/>
  <c r="G5" i="23"/>
  <c r="N5" i="23"/>
  <c r="F5" i="23"/>
  <c r="C5" i="23"/>
  <c r="M5" i="23"/>
  <c r="B5" i="23"/>
  <c r="K4" i="23"/>
  <c r="J4" i="23"/>
  <c r="G4" i="23"/>
  <c r="F4" i="23"/>
  <c r="C4" i="23"/>
  <c r="M4" i="23"/>
  <c r="B4" i="23"/>
  <c r="K18" i="22"/>
  <c r="O18" i="22"/>
  <c r="J18" i="22"/>
  <c r="G18" i="22"/>
  <c r="N18" i="22"/>
  <c r="F18" i="22"/>
  <c r="C18" i="22"/>
  <c r="M18" i="22"/>
  <c r="B18" i="22"/>
  <c r="K17" i="22"/>
  <c r="O17" i="22"/>
  <c r="J17" i="22"/>
  <c r="G17" i="22"/>
  <c r="N17" i="22"/>
  <c r="F17" i="22"/>
  <c r="C17" i="22"/>
  <c r="M17" i="22"/>
  <c r="B17" i="22"/>
  <c r="K16" i="22"/>
  <c r="O16" i="22"/>
  <c r="J16" i="22"/>
  <c r="G16" i="22"/>
  <c r="N16" i="22"/>
  <c r="F16" i="22"/>
  <c r="C16" i="22"/>
  <c r="M16" i="22"/>
  <c r="B16" i="22"/>
  <c r="K15" i="22"/>
  <c r="O15" i="22"/>
  <c r="J15" i="22"/>
  <c r="G15" i="22"/>
  <c r="N15" i="22"/>
  <c r="F15" i="22"/>
  <c r="C15" i="22"/>
  <c r="M15" i="22"/>
  <c r="B15" i="22"/>
  <c r="O14" i="22"/>
  <c r="N14" i="22"/>
  <c r="K14" i="22"/>
  <c r="J14" i="22"/>
  <c r="G14" i="22"/>
  <c r="F14" i="22"/>
  <c r="C14" i="22"/>
  <c r="M14" i="22"/>
  <c r="B14" i="22"/>
  <c r="K13" i="22"/>
  <c r="O13" i="22"/>
  <c r="J13" i="22"/>
  <c r="G13" i="22"/>
  <c r="N13" i="22"/>
  <c r="F13" i="22"/>
  <c r="C13" i="22"/>
  <c r="M13" i="22"/>
  <c r="B13" i="22"/>
  <c r="K12" i="22"/>
  <c r="O12" i="22"/>
  <c r="J12" i="22"/>
  <c r="G12" i="22"/>
  <c r="N12" i="22"/>
  <c r="F12" i="22"/>
  <c r="C12" i="22"/>
  <c r="M12" i="22"/>
  <c r="B12" i="22"/>
  <c r="K11" i="22"/>
  <c r="O11" i="22"/>
  <c r="J11" i="22"/>
  <c r="G11" i="22"/>
  <c r="N11" i="22"/>
  <c r="F11" i="22"/>
  <c r="C11" i="22"/>
  <c r="M11" i="22"/>
  <c r="B11" i="22"/>
  <c r="K10" i="22"/>
  <c r="O10" i="22"/>
  <c r="J10" i="22"/>
  <c r="G10" i="22"/>
  <c r="N10" i="22"/>
  <c r="F10" i="22"/>
  <c r="C10" i="22"/>
  <c r="M10" i="22"/>
  <c r="B10" i="22"/>
  <c r="K9" i="22"/>
  <c r="O9" i="22"/>
  <c r="J9" i="22"/>
  <c r="G9" i="22"/>
  <c r="N9" i="22"/>
  <c r="F9" i="22"/>
  <c r="C9" i="22"/>
  <c r="M9" i="22"/>
  <c r="B9" i="22"/>
  <c r="K8" i="22"/>
  <c r="O8" i="22"/>
  <c r="J8" i="22"/>
  <c r="G8" i="22"/>
  <c r="N8" i="22"/>
  <c r="F8" i="22"/>
  <c r="C8" i="22"/>
  <c r="M8" i="22"/>
  <c r="B8" i="22"/>
  <c r="K7" i="22"/>
  <c r="O7" i="22"/>
  <c r="J7" i="22"/>
  <c r="G7" i="22"/>
  <c r="N7" i="22"/>
  <c r="F7" i="22"/>
  <c r="C7" i="22"/>
  <c r="M7" i="22"/>
  <c r="B7" i="22"/>
  <c r="K6" i="22"/>
  <c r="O6" i="22"/>
  <c r="J6" i="22"/>
  <c r="G6" i="22"/>
  <c r="N6" i="22"/>
  <c r="F6" i="22"/>
  <c r="C6" i="22"/>
  <c r="M6" i="22"/>
  <c r="B6" i="22"/>
  <c r="N5" i="22"/>
  <c r="K5" i="22"/>
  <c r="O5" i="22"/>
  <c r="J5" i="22"/>
  <c r="G5" i="22"/>
  <c r="F5" i="22"/>
  <c r="C5" i="22"/>
  <c r="M5" i="22"/>
  <c r="B5" i="22"/>
  <c r="K4" i="22"/>
  <c r="J4" i="22"/>
  <c r="G4" i="22"/>
  <c r="F4" i="22"/>
  <c r="C4" i="22"/>
  <c r="B4" i="22"/>
  <c r="B22" i="8"/>
  <c r="B21" i="8"/>
  <c r="B20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4" i="8"/>
  <c r="J18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4" i="8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42" i="7"/>
  <c r="P43" i="7"/>
  <c r="P44" i="7"/>
  <c r="P45" i="7"/>
  <c r="P46" i="7"/>
  <c r="P47" i="7"/>
  <c r="P42" i="7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42" i="19"/>
  <c r="P43" i="19"/>
  <c r="P44" i="19"/>
  <c r="P45" i="19"/>
  <c r="P46" i="19"/>
  <c r="P47" i="19"/>
  <c r="P42" i="19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42" i="20"/>
  <c r="P43" i="20"/>
  <c r="P44" i="20"/>
  <c r="P45" i="20"/>
  <c r="P46" i="20"/>
  <c r="P47" i="20"/>
  <c r="P42" i="20"/>
  <c r="K21" i="20"/>
  <c r="G21" i="20"/>
  <c r="K20" i="20"/>
  <c r="G20" i="20"/>
  <c r="K19" i="20"/>
  <c r="G19" i="20"/>
  <c r="K18" i="20"/>
  <c r="G18" i="20"/>
  <c r="K17" i="20"/>
  <c r="G17" i="20"/>
  <c r="K16" i="20"/>
  <c r="G16" i="20"/>
  <c r="K15" i="20"/>
  <c r="G15" i="20"/>
  <c r="K14" i="20"/>
  <c r="G14" i="20"/>
  <c r="K13" i="20"/>
  <c r="G13" i="20"/>
  <c r="K12" i="20"/>
  <c r="G12" i="20"/>
  <c r="K11" i="20"/>
  <c r="G11" i="20"/>
  <c r="K10" i="20"/>
  <c r="G10" i="20"/>
  <c r="K9" i="20"/>
  <c r="G9" i="20"/>
  <c r="C9" i="20"/>
  <c r="K8" i="20"/>
  <c r="G8" i="20"/>
  <c r="C8" i="20"/>
  <c r="K7" i="20"/>
  <c r="G7" i="20"/>
  <c r="C7" i="20"/>
  <c r="K6" i="20"/>
  <c r="G6" i="20"/>
  <c r="C6" i="20"/>
  <c r="K5" i="20"/>
  <c r="G5" i="20"/>
  <c r="C5" i="20"/>
  <c r="K4" i="20"/>
  <c r="G4" i="20"/>
  <c r="C4" i="20"/>
  <c r="K21" i="19"/>
  <c r="G21" i="19"/>
  <c r="K20" i="19"/>
  <c r="G20" i="19"/>
  <c r="K19" i="19"/>
  <c r="G19" i="19"/>
  <c r="K18" i="19"/>
  <c r="G18" i="19"/>
  <c r="K17" i="19"/>
  <c r="G17" i="19"/>
  <c r="K16" i="19"/>
  <c r="G16" i="19"/>
  <c r="K15" i="19"/>
  <c r="G15" i="19"/>
  <c r="K14" i="19"/>
  <c r="G14" i="19"/>
  <c r="K13" i="19"/>
  <c r="G13" i="19"/>
  <c r="K12" i="19"/>
  <c r="G12" i="19"/>
  <c r="K11" i="19"/>
  <c r="G11" i="19"/>
  <c r="K10" i="19"/>
  <c r="G10" i="19"/>
  <c r="K9" i="19"/>
  <c r="G9" i="19"/>
  <c r="C9" i="19"/>
  <c r="K8" i="19"/>
  <c r="G8" i="19"/>
  <c r="C8" i="19"/>
  <c r="K7" i="19"/>
  <c r="G7" i="19"/>
  <c r="C7" i="19"/>
  <c r="K6" i="19"/>
  <c r="G6" i="19"/>
  <c r="C6" i="19"/>
  <c r="K5" i="19"/>
  <c r="G5" i="19"/>
  <c r="C5" i="19"/>
  <c r="K4" i="19"/>
  <c r="G4" i="19"/>
  <c r="C4" i="19"/>
  <c r="B23" i="19"/>
  <c r="B17" i="18"/>
  <c r="C15" i="18"/>
  <c r="M15" i="18"/>
  <c r="C14" i="18"/>
  <c r="C13" i="18"/>
  <c r="M13" i="18"/>
  <c r="C12" i="18"/>
  <c r="C11" i="18"/>
  <c r="M11" i="18"/>
  <c r="C10" i="18"/>
  <c r="C9" i="18"/>
  <c r="C8" i="18"/>
  <c r="M8" i="18"/>
  <c r="C7" i="18"/>
  <c r="M7" i="18"/>
  <c r="C6" i="18"/>
  <c r="C5" i="18"/>
  <c r="C4" i="18"/>
  <c r="K15" i="18"/>
  <c r="O15" i="18"/>
  <c r="G15" i="18"/>
  <c r="N15" i="18"/>
  <c r="K14" i="18"/>
  <c r="O14" i="18"/>
  <c r="G14" i="18"/>
  <c r="N14" i="18"/>
  <c r="M14" i="18"/>
  <c r="K13" i="18"/>
  <c r="O13" i="18"/>
  <c r="G13" i="18"/>
  <c r="N13" i="18"/>
  <c r="K12" i="18"/>
  <c r="O12" i="18"/>
  <c r="G12" i="18"/>
  <c r="N12" i="18"/>
  <c r="M12" i="18"/>
  <c r="K11" i="18"/>
  <c r="O11" i="18"/>
  <c r="G11" i="18"/>
  <c r="N11" i="18"/>
  <c r="K10" i="18"/>
  <c r="O10" i="18"/>
  <c r="G10" i="18"/>
  <c r="N10" i="18"/>
  <c r="M10" i="18"/>
  <c r="K9" i="18"/>
  <c r="O9" i="18"/>
  <c r="G9" i="18"/>
  <c r="N9" i="18"/>
  <c r="M9" i="18"/>
  <c r="K8" i="18"/>
  <c r="O8" i="18"/>
  <c r="G8" i="18"/>
  <c r="N8" i="18"/>
  <c r="K7" i="18"/>
  <c r="O7" i="18"/>
  <c r="G7" i="18"/>
  <c r="N7" i="18"/>
  <c r="K6" i="18"/>
  <c r="O6" i="18"/>
  <c r="G6" i="18"/>
  <c r="N6" i="18"/>
  <c r="M6" i="18"/>
  <c r="K5" i="18"/>
  <c r="O5" i="18"/>
  <c r="G5" i="18"/>
  <c r="N5" i="18"/>
  <c r="K4" i="18"/>
  <c r="G4" i="18"/>
  <c r="C5" i="17"/>
  <c r="C6" i="17"/>
  <c r="C7" i="17"/>
  <c r="C8" i="17"/>
  <c r="C9" i="17"/>
  <c r="C10" i="17"/>
  <c r="C11" i="17"/>
  <c r="C12" i="17"/>
  <c r="M12" i="17"/>
  <c r="C13" i="17"/>
  <c r="M13" i="17"/>
  <c r="C14" i="17"/>
  <c r="M14" i="17"/>
  <c r="C15" i="17"/>
  <c r="C4" i="17"/>
  <c r="C5" i="15"/>
  <c r="C6" i="15"/>
  <c r="C7" i="15"/>
  <c r="C8" i="15"/>
  <c r="C9" i="15"/>
  <c r="C10" i="15"/>
  <c r="C11" i="15"/>
  <c r="M11" i="15"/>
  <c r="C12" i="15"/>
  <c r="C13" i="15"/>
  <c r="C14" i="15"/>
  <c r="M14" i="15"/>
  <c r="C15" i="15"/>
  <c r="M15" i="15"/>
  <c r="C4" i="15"/>
  <c r="M15" i="17"/>
  <c r="K15" i="17"/>
  <c r="O15" i="17"/>
  <c r="G15" i="17"/>
  <c r="N15" i="17"/>
  <c r="K14" i="17"/>
  <c r="O14" i="17"/>
  <c r="G14" i="17"/>
  <c r="N14" i="17"/>
  <c r="K13" i="17"/>
  <c r="O13" i="17"/>
  <c r="G13" i="17"/>
  <c r="N13" i="17"/>
  <c r="K12" i="17"/>
  <c r="O12" i="17"/>
  <c r="G12" i="17"/>
  <c r="N12" i="17"/>
  <c r="K11" i="17"/>
  <c r="O11" i="17"/>
  <c r="G11" i="17"/>
  <c r="N11" i="17"/>
  <c r="M11" i="17"/>
  <c r="K10" i="17"/>
  <c r="O10" i="17"/>
  <c r="G10" i="17"/>
  <c r="N10" i="17"/>
  <c r="M10" i="17"/>
  <c r="K9" i="17"/>
  <c r="O9" i="17"/>
  <c r="G9" i="17"/>
  <c r="N9" i="17"/>
  <c r="M9" i="17"/>
  <c r="K8" i="17"/>
  <c r="O8" i="17"/>
  <c r="G8" i="17"/>
  <c r="N8" i="17"/>
  <c r="M8" i="17"/>
  <c r="M7" i="17"/>
  <c r="K7" i="17"/>
  <c r="O7" i="17"/>
  <c r="G7" i="17"/>
  <c r="N7" i="17"/>
  <c r="K6" i="17"/>
  <c r="O6" i="17"/>
  <c r="G6" i="17"/>
  <c r="N6" i="17"/>
  <c r="M6" i="17"/>
  <c r="K5" i="17"/>
  <c r="O5" i="17"/>
  <c r="G5" i="17"/>
  <c r="N5" i="17"/>
  <c r="M5" i="17"/>
  <c r="K4" i="17"/>
  <c r="G4" i="17"/>
  <c r="M4" i="17"/>
  <c r="K5" i="16"/>
  <c r="K6" i="16"/>
  <c r="K7" i="16"/>
  <c r="K8" i="16"/>
  <c r="K9" i="16"/>
  <c r="K10" i="16"/>
  <c r="K11" i="16"/>
  <c r="K12" i="16"/>
  <c r="K13" i="16"/>
  <c r="K14" i="16"/>
  <c r="K15" i="16"/>
  <c r="K4" i="16"/>
  <c r="J5" i="16"/>
  <c r="J6" i="16"/>
  <c r="J7" i="16"/>
  <c r="J8" i="16"/>
  <c r="J9" i="16"/>
  <c r="J10" i="16"/>
  <c r="J11" i="16"/>
  <c r="J12" i="16"/>
  <c r="J13" i="16"/>
  <c r="J14" i="16"/>
  <c r="J15" i="16"/>
  <c r="J4" i="16"/>
  <c r="F9" i="16"/>
  <c r="G5" i="16"/>
  <c r="G6" i="16"/>
  <c r="N6" i="16"/>
  <c r="G7" i="16"/>
  <c r="N7" i="16"/>
  <c r="G8" i="16"/>
  <c r="G9" i="16"/>
  <c r="G10" i="16"/>
  <c r="N10" i="16"/>
  <c r="G11" i="16"/>
  <c r="G12" i="16"/>
  <c r="N12" i="16"/>
  <c r="G13" i="16"/>
  <c r="N13" i="16"/>
  <c r="G14" i="16"/>
  <c r="N14" i="16"/>
  <c r="G15" i="16"/>
  <c r="N15" i="16"/>
  <c r="G4" i="16"/>
  <c r="N4" i="16"/>
  <c r="M4" i="16"/>
  <c r="F5" i="16"/>
  <c r="F6" i="16"/>
  <c r="F7" i="16"/>
  <c r="F8" i="16"/>
  <c r="F10" i="16"/>
  <c r="F11" i="16"/>
  <c r="F12" i="16"/>
  <c r="F13" i="16"/>
  <c r="F14" i="16"/>
  <c r="F15" i="16"/>
  <c r="F4" i="16"/>
  <c r="C5" i="16"/>
  <c r="C6" i="16"/>
  <c r="C7" i="16"/>
  <c r="M7" i="16"/>
  <c r="C8" i="16"/>
  <c r="C9" i="16"/>
  <c r="C10" i="16"/>
  <c r="C11" i="16"/>
  <c r="C12" i="16"/>
  <c r="C13" i="16"/>
  <c r="M13" i="16"/>
  <c r="C14" i="16"/>
  <c r="M14" i="16"/>
  <c r="C15" i="16"/>
  <c r="C4" i="16"/>
  <c r="B5" i="16"/>
  <c r="B6" i="16"/>
  <c r="B7" i="16"/>
  <c r="B8" i="16"/>
  <c r="B9" i="16"/>
  <c r="B10" i="16"/>
  <c r="B11" i="16"/>
  <c r="B12" i="16"/>
  <c r="B13" i="16"/>
  <c r="B14" i="16"/>
  <c r="B15" i="16"/>
  <c r="B4" i="16"/>
  <c r="O4" i="16"/>
  <c r="O5" i="16"/>
  <c r="O6" i="16"/>
  <c r="O7" i="16"/>
  <c r="O8" i="16"/>
  <c r="O9" i="16"/>
  <c r="O10" i="16"/>
  <c r="O11" i="16"/>
  <c r="O13" i="16"/>
  <c r="O14" i="16"/>
  <c r="O15" i="16"/>
  <c r="M15" i="16"/>
  <c r="M12" i="16"/>
  <c r="M11" i="16"/>
  <c r="M10" i="16"/>
  <c r="M9" i="16"/>
  <c r="M8" i="16"/>
  <c r="M6" i="16"/>
  <c r="M5" i="16"/>
  <c r="K15" i="15"/>
  <c r="O15" i="15"/>
  <c r="G15" i="15"/>
  <c r="N15" i="15"/>
  <c r="K14" i="15"/>
  <c r="O14" i="15"/>
  <c r="G14" i="15"/>
  <c r="N14" i="15"/>
  <c r="K13" i="15"/>
  <c r="O13" i="15"/>
  <c r="G13" i="15"/>
  <c r="N13" i="15"/>
  <c r="M13" i="15"/>
  <c r="K12" i="15"/>
  <c r="O12" i="15"/>
  <c r="G12" i="15"/>
  <c r="N12" i="15"/>
  <c r="M12" i="15"/>
  <c r="K11" i="15"/>
  <c r="O11" i="15"/>
  <c r="G11" i="15"/>
  <c r="N11" i="15"/>
  <c r="K10" i="15"/>
  <c r="O10" i="15"/>
  <c r="G10" i="15"/>
  <c r="N10" i="15"/>
  <c r="M10" i="15"/>
  <c r="K9" i="15"/>
  <c r="O9" i="15"/>
  <c r="G9" i="15"/>
  <c r="N9" i="15"/>
  <c r="M9" i="15"/>
  <c r="K8" i="15"/>
  <c r="O8" i="15"/>
  <c r="G8" i="15"/>
  <c r="N8" i="15"/>
  <c r="M8" i="15"/>
  <c r="K7" i="15"/>
  <c r="O7" i="15"/>
  <c r="G7" i="15"/>
  <c r="N7" i="15"/>
  <c r="M7" i="15"/>
  <c r="K6" i="15"/>
  <c r="O6" i="15"/>
  <c r="G6" i="15"/>
  <c r="N6" i="15"/>
  <c r="M6" i="15"/>
  <c r="K5" i="15"/>
  <c r="O5" i="15"/>
  <c r="G5" i="15"/>
  <c r="N5" i="15"/>
  <c r="M5" i="15"/>
  <c r="K4" i="15"/>
  <c r="G4" i="15"/>
  <c r="O5" i="5"/>
  <c r="O6" i="5"/>
  <c r="O7" i="5"/>
  <c r="O8" i="5"/>
  <c r="O9" i="5"/>
  <c r="O10" i="5"/>
  <c r="O11" i="5"/>
  <c r="O12" i="5"/>
  <c r="O13" i="5"/>
  <c r="O14" i="5"/>
  <c r="O15" i="5"/>
  <c r="O4" i="5"/>
  <c r="N5" i="5"/>
  <c r="N6" i="5"/>
  <c r="N7" i="5"/>
  <c r="N8" i="5"/>
  <c r="N9" i="5"/>
  <c r="N10" i="5"/>
  <c r="N11" i="5"/>
  <c r="N12" i="5"/>
  <c r="N13" i="5"/>
  <c r="N14" i="5"/>
  <c r="N15" i="5"/>
  <c r="N4" i="5"/>
  <c r="M5" i="5"/>
  <c r="M6" i="5"/>
  <c r="M7" i="5"/>
  <c r="M8" i="5"/>
  <c r="M9" i="5"/>
  <c r="M10" i="5"/>
  <c r="M11" i="5"/>
  <c r="M12" i="5"/>
  <c r="M13" i="5"/>
  <c r="M14" i="5"/>
  <c r="M15" i="5"/>
  <c r="M4" i="5"/>
  <c r="K14" i="5"/>
  <c r="K15" i="5"/>
  <c r="K13" i="5"/>
  <c r="K12" i="5"/>
  <c r="K11" i="5"/>
  <c r="K10" i="5"/>
  <c r="K9" i="5"/>
  <c r="K8" i="5"/>
  <c r="K6" i="5"/>
  <c r="K7" i="5"/>
  <c r="K5" i="5"/>
  <c r="K4" i="5"/>
  <c r="G15" i="5"/>
  <c r="G14" i="5"/>
  <c r="G13" i="5"/>
  <c r="G12" i="5"/>
  <c r="B18" i="5"/>
  <c r="B21" i="5"/>
  <c r="G11" i="5"/>
  <c r="G10" i="5"/>
  <c r="G9" i="5"/>
  <c r="G8" i="5"/>
  <c r="G7" i="5"/>
  <c r="G6" i="5"/>
  <c r="G5" i="5"/>
  <c r="G4" i="5"/>
  <c r="K4" i="7"/>
  <c r="G4" i="7"/>
  <c r="K16" i="7"/>
  <c r="K21" i="7"/>
  <c r="G21" i="7"/>
  <c r="K20" i="7"/>
  <c r="G20" i="7"/>
  <c r="K19" i="7"/>
  <c r="G19" i="7"/>
  <c r="K18" i="7"/>
  <c r="G18" i="7"/>
  <c r="K17" i="7"/>
  <c r="G17" i="7"/>
  <c r="G16" i="7"/>
  <c r="K15" i="7"/>
  <c r="G15" i="7"/>
  <c r="K14" i="7"/>
  <c r="G14" i="7"/>
  <c r="K13" i="7"/>
  <c r="G13" i="7"/>
  <c r="K12" i="7"/>
  <c r="G12" i="7"/>
  <c r="K11" i="7"/>
  <c r="G11" i="7"/>
  <c r="K10" i="7"/>
  <c r="G10" i="7"/>
  <c r="K9" i="7"/>
  <c r="G9" i="7"/>
  <c r="C9" i="7"/>
  <c r="K8" i="7"/>
  <c r="G8" i="7"/>
  <c r="C8" i="7"/>
  <c r="K7" i="7"/>
  <c r="G7" i="7"/>
  <c r="C7" i="7"/>
  <c r="K6" i="7"/>
  <c r="G6" i="7"/>
  <c r="C6" i="7"/>
  <c r="K5" i="7"/>
  <c r="G5" i="7"/>
  <c r="C5" i="7"/>
  <c r="C4" i="7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9" i="6"/>
  <c r="C8" i="6"/>
  <c r="C7" i="6"/>
  <c r="C6" i="6"/>
  <c r="C5" i="6"/>
  <c r="C4" i="6"/>
  <c r="B23" i="6"/>
  <c r="G4" i="6"/>
  <c r="B17" i="5"/>
  <c r="C15" i="5"/>
  <c r="C14" i="5"/>
  <c r="C11" i="5"/>
  <c r="C10" i="5"/>
  <c r="C9" i="5"/>
  <c r="C7" i="5"/>
  <c r="C6" i="5"/>
  <c r="C13" i="5"/>
  <c r="C12" i="5"/>
  <c r="C8" i="5"/>
  <c r="C4" i="5"/>
  <c r="C5" i="5"/>
  <c r="J20" i="2"/>
  <c r="J20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3" i="4"/>
  <c r="M28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3" i="4"/>
  <c r="L28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K28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3" i="4"/>
  <c r="J28" i="4"/>
  <c r="M4" i="3"/>
  <c r="M5" i="3"/>
  <c r="M32" i="3"/>
  <c r="M6" i="3"/>
  <c r="M7" i="3"/>
  <c r="M27" i="3"/>
  <c r="M8" i="3"/>
  <c r="M21" i="3"/>
  <c r="M9" i="3"/>
  <c r="M10" i="3"/>
  <c r="M11" i="3"/>
  <c r="M12" i="3"/>
  <c r="M13" i="3"/>
  <c r="M14" i="3"/>
  <c r="M15" i="3"/>
  <c r="M16" i="3"/>
  <c r="M17" i="3"/>
  <c r="M3" i="3"/>
  <c r="L14" i="3"/>
  <c r="L4" i="3"/>
  <c r="L5" i="3"/>
  <c r="L6" i="3"/>
  <c r="L7" i="3"/>
  <c r="L8" i="3"/>
  <c r="L9" i="3"/>
  <c r="L10" i="3"/>
  <c r="L11" i="3"/>
  <c r="L12" i="3"/>
  <c r="L13" i="3"/>
  <c r="L15" i="3"/>
  <c r="L16" i="3"/>
  <c r="L17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31" i="3"/>
  <c r="K31" i="3"/>
  <c r="L31" i="3"/>
  <c r="J32" i="3"/>
  <c r="K32" i="3"/>
  <c r="L32" i="3"/>
  <c r="J25" i="3"/>
  <c r="K25" i="3"/>
  <c r="L25" i="3"/>
  <c r="J26" i="3"/>
  <c r="K26" i="3"/>
  <c r="L26" i="3"/>
  <c r="J27" i="3"/>
  <c r="K27" i="3"/>
  <c r="L27" i="3"/>
  <c r="J28" i="3"/>
  <c r="K28" i="3"/>
  <c r="L28" i="3"/>
  <c r="M28" i="3"/>
  <c r="J20" i="3"/>
  <c r="K20" i="3"/>
  <c r="L20" i="3"/>
  <c r="J21" i="3"/>
  <c r="K21" i="3"/>
  <c r="L21" i="3"/>
  <c r="J22" i="3"/>
  <c r="K22" i="3"/>
  <c r="L22" i="3"/>
  <c r="M3" i="2"/>
  <c r="M2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L3" i="2"/>
  <c r="L28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3" i="2"/>
  <c r="K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28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E31" i="4"/>
  <c r="E32" i="4"/>
  <c r="E25" i="4"/>
  <c r="E26" i="4"/>
  <c r="E27" i="4"/>
  <c r="E28" i="4"/>
  <c r="E20" i="4"/>
  <c r="E21" i="4"/>
  <c r="E22" i="4"/>
  <c r="E31" i="3"/>
  <c r="E32" i="3"/>
  <c r="E25" i="3"/>
  <c r="E26" i="3"/>
  <c r="E27" i="3"/>
  <c r="E28" i="3"/>
  <c r="E20" i="3"/>
  <c r="E21" i="3"/>
  <c r="E22" i="3"/>
  <c r="E31" i="2"/>
  <c r="E32" i="2"/>
  <c r="E25" i="2"/>
  <c r="E26" i="2"/>
  <c r="E27" i="2"/>
  <c r="E28" i="2"/>
  <c r="E20" i="2"/>
  <c r="E21" i="2"/>
  <c r="E22" i="2"/>
  <c r="I32" i="4"/>
  <c r="H32" i="4"/>
  <c r="G32" i="4"/>
  <c r="F32" i="4"/>
  <c r="I31" i="4"/>
  <c r="H31" i="4"/>
  <c r="G31" i="4"/>
  <c r="F31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2" i="4"/>
  <c r="H22" i="4"/>
  <c r="G22" i="4"/>
  <c r="F22" i="4"/>
  <c r="I21" i="4"/>
  <c r="H21" i="4"/>
  <c r="G21" i="4"/>
  <c r="F21" i="4"/>
  <c r="I20" i="4"/>
  <c r="H20" i="4"/>
  <c r="G20" i="4"/>
  <c r="F20" i="4"/>
  <c r="I32" i="3"/>
  <c r="H32" i="3"/>
  <c r="G32" i="3"/>
  <c r="F32" i="3"/>
  <c r="I31" i="3"/>
  <c r="H31" i="3"/>
  <c r="G31" i="3"/>
  <c r="F31" i="3"/>
  <c r="I28" i="3"/>
  <c r="H28" i="3"/>
  <c r="G28" i="3"/>
  <c r="F28" i="3"/>
  <c r="I27" i="3"/>
  <c r="H27" i="3"/>
  <c r="G27" i="3"/>
  <c r="F27" i="3"/>
  <c r="I26" i="3"/>
  <c r="H26" i="3"/>
  <c r="G26" i="3"/>
  <c r="F26" i="3"/>
  <c r="I25" i="3"/>
  <c r="H25" i="3"/>
  <c r="G25" i="3"/>
  <c r="F25" i="3"/>
  <c r="I22" i="3"/>
  <c r="H22" i="3"/>
  <c r="G22" i="3"/>
  <c r="F22" i="3"/>
  <c r="I21" i="3"/>
  <c r="H21" i="3"/>
  <c r="G21" i="3"/>
  <c r="F21" i="3"/>
  <c r="I20" i="3"/>
  <c r="H20" i="3"/>
  <c r="G20" i="3"/>
  <c r="F20" i="3"/>
  <c r="G25" i="2"/>
  <c r="H25" i="2"/>
  <c r="I25" i="2"/>
  <c r="G26" i="2"/>
  <c r="H26" i="2"/>
  <c r="I26" i="2"/>
  <c r="G27" i="2"/>
  <c r="H27" i="2"/>
  <c r="I27" i="2"/>
  <c r="G28" i="2"/>
  <c r="H28" i="2"/>
  <c r="I28" i="2"/>
  <c r="F28" i="2"/>
  <c r="F27" i="2"/>
  <c r="F26" i="2"/>
  <c r="F25" i="2"/>
  <c r="G31" i="2"/>
  <c r="H31" i="2"/>
  <c r="I31" i="2"/>
  <c r="G32" i="2"/>
  <c r="H32" i="2"/>
  <c r="I32" i="2"/>
  <c r="F32" i="2"/>
  <c r="F31" i="2"/>
  <c r="H20" i="2"/>
  <c r="G20" i="2"/>
  <c r="I20" i="2"/>
  <c r="G21" i="2"/>
  <c r="H21" i="2"/>
  <c r="I21" i="2"/>
  <c r="G22" i="2"/>
  <c r="H22" i="2"/>
  <c r="I22" i="2"/>
  <c r="F22" i="2"/>
  <c r="F21" i="2"/>
  <c r="F20" i="2"/>
  <c r="O11" i="27"/>
  <c r="O8" i="27"/>
  <c r="V16" i="27" a="1"/>
  <c r="V16" i="27"/>
  <c r="V10" i="27" a="1"/>
  <c r="V10" i="27"/>
  <c r="N7" i="27"/>
  <c r="M26" i="3"/>
  <c r="M31" i="3"/>
  <c r="M20" i="3"/>
  <c r="M22" i="3"/>
  <c r="M25" i="3"/>
  <c r="M6" i="27"/>
  <c r="V4" i="27" a="1"/>
  <c r="V4" i="27"/>
  <c r="M14" i="27"/>
  <c r="M7" i="27"/>
  <c r="U4" i="27" a="1"/>
  <c r="U4" i="27"/>
  <c r="M15" i="27"/>
  <c r="N14" i="27"/>
  <c r="O14" i="27"/>
  <c r="M10" i="27"/>
  <c r="M12" i="27"/>
  <c r="N10" i="27"/>
  <c r="N12" i="27"/>
  <c r="O10" i="27"/>
  <c r="O12" i="27"/>
  <c r="M8" i="27"/>
  <c r="U16" i="27" a="1"/>
  <c r="U16" i="27"/>
  <c r="N4" i="27"/>
  <c r="N15" i="27"/>
  <c r="O4" i="27"/>
  <c r="O15" i="27"/>
  <c r="O13" i="27"/>
  <c r="N13" i="27"/>
  <c r="M9" i="27"/>
  <c r="M11" i="27"/>
  <c r="N9" i="27"/>
  <c r="N11" i="27"/>
  <c r="O7" i="26"/>
  <c r="M5" i="26"/>
  <c r="M7" i="26"/>
  <c r="N14" i="26"/>
  <c r="O5" i="26"/>
  <c r="O14" i="26"/>
  <c r="M10" i="26"/>
  <c r="M4" i="26"/>
  <c r="M6" i="26"/>
  <c r="V10" i="26" a="1"/>
  <c r="V10" i="26"/>
  <c r="M15" i="26"/>
  <c r="N4" i="26"/>
  <c r="N6" i="26"/>
  <c r="N15" i="26"/>
  <c r="O4" i="26"/>
  <c r="O6" i="26"/>
  <c r="O15" i="26"/>
  <c r="U10" i="26" a="1"/>
  <c r="U10" i="26"/>
  <c r="N5" i="26"/>
  <c r="O12" i="26"/>
  <c r="M13" i="26"/>
  <c r="U4" i="26" a="1"/>
  <c r="U4" i="26"/>
  <c r="O13" i="26"/>
  <c r="U16" i="26" a="1"/>
  <c r="U16" i="26"/>
  <c r="V4" i="26" a="1"/>
  <c r="V4" i="26"/>
  <c r="M9" i="26"/>
  <c r="M11" i="26"/>
  <c r="V16" i="26" a="1"/>
  <c r="V16" i="26"/>
  <c r="M8" i="26"/>
  <c r="U16" i="25" a="1"/>
  <c r="U16" i="25"/>
  <c r="V16" i="25" a="1"/>
  <c r="V16" i="25"/>
  <c r="N4" i="25"/>
  <c r="N6" i="25"/>
  <c r="N15" i="25"/>
  <c r="U4" i="25" a="1"/>
  <c r="U4" i="25"/>
  <c r="M9" i="25"/>
  <c r="M14" i="25"/>
  <c r="V4" i="25" a="1"/>
  <c r="V4" i="25"/>
  <c r="N5" i="25"/>
  <c r="O14" i="25"/>
  <c r="N12" i="25"/>
  <c r="M8" i="25"/>
  <c r="N8" i="25"/>
  <c r="O8" i="25"/>
  <c r="U10" i="25" a="1"/>
  <c r="U10" i="25"/>
  <c r="O10" i="25"/>
  <c r="M4" i="25"/>
  <c r="M6" i="25"/>
  <c r="M15" i="25"/>
  <c r="O4" i="25"/>
  <c r="O6" i="25"/>
  <c r="O15" i="25"/>
  <c r="M13" i="25"/>
  <c r="V10" i="25" a="1"/>
  <c r="V10" i="25"/>
  <c r="N13" i="25"/>
  <c r="O13" i="25"/>
  <c r="N14" i="25"/>
  <c r="M10" i="25"/>
  <c r="N9" i="25"/>
  <c r="N11" i="25"/>
  <c r="N11" i="16"/>
  <c r="B21" i="24"/>
  <c r="B22" i="24"/>
  <c r="N5" i="16"/>
  <c r="N8" i="16"/>
  <c r="N9" i="16"/>
  <c r="B20" i="24"/>
  <c r="B24" i="24"/>
  <c r="M4" i="24"/>
  <c r="N4" i="24"/>
  <c r="B22" i="23"/>
  <c r="B21" i="23"/>
  <c r="O4" i="23"/>
  <c r="N4" i="23"/>
  <c r="B20" i="23"/>
  <c r="B24" i="23"/>
  <c r="B22" i="22"/>
  <c r="B21" i="22"/>
  <c r="B20" i="22"/>
  <c r="N4" i="22"/>
  <c r="O4" i="22"/>
  <c r="M4" i="22"/>
  <c r="B23" i="20"/>
  <c r="B25" i="20"/>
  <c r="B24" i="20"/>
  <c r="B24" i="19"/>
  <c r="B27" i="19"/>
  <c r="B25" i="19"/>
  <c r="M5" i="18"/>
  <c r="B18" i="18"/>
  <c r="B19" i="18"/>
  <c r="M4" i="18"/>
  <c r="N4" i="18"/>
  <c r="O4" i="18"/>
  <c r="B18" i="17"/>
  <c r="B19" i="17"/>
  <c r="N4" i="17"/>
  <c r="O4" i="17"/>
  <c r="B17" i="17"/>
  <c r="B21" i="17"/>
  <c r="O12" i="16"/>
  <c r="B18" i="15"/>
  <c r="B17" i="15"/>
  <c r="B19" i="15"/>
  <c r="M4" i="15"/>
  <c r="N4" i="15"/>
  <c r="O4" i="15"/>
  <c r="B19" i="5"/>
  <c r="B24" i="8"/>
  <c r="B24" i="7"/>
  <c r="B25" i="7"/>
  <c r="B23" i="7"/>
  <c r="B27" i="7"/>
  <c r="B25" i="6"/>
  <c r="B24" i="6"/>
  <c r="B27" i="6"/>
  <c r="J22" i="4"/>
  <c r="J21" i="4"/>
  <c r="J27" i="4"/>
  <c r="J26" i="4"/>
  <c r="J32" i="4"/>
  <c r="J31" i="4"/>
  <c r="J25" i="4"/>
  <c r="K22" i="4"/>
  <c r="K21" i="4"/>
  <c r="K27" i="4"/>
  <c r="K26" i="4"/>
  <c r="K20" i="4"/>
  <c r="K32" i="4"/>
  <c r="K31" i="4"/>
  <c r="K25" i="4"/>
  <c r="L22" i="4"/>
  <c r="L21" i="4"/>
  <c r="L27" i="4"/>
  <c r="L26" i="4"/>
  <c r="L20" i="4"/>
  <c r="L32" i="4"/>
  <c r="L31" i="4"/>
  <c r="L25" i="4"/>
  <c r="M22" i="4"/>
  <c r="M21" i="4"/>
  <c r="M27" i="4"/>
  <c r="M26" i="4"/>
  <c r="M20" i="4"/>
  <c r="M32" i="4"/>
  <c r="M31" i="4"/>
  <c r="M25" i="4"/>
  <c r="J22" i="2"/>
  <c r="J21" i="2"/>
  <c r="J27" i="2"/>
  <c r="J26" i="2"/>
  <c r="J32" i="2"/>
  <c r="J31" i="2"/>
  <c r="J25" i="2"/>
  <c r="K22" i="2"/>
  <c r="K21" i="2"/>
  <c r="K27" i="2"/>
  <c r="K26" i="2"/>
  <c r="K20" i="2"/>
  <c r="K32" i="2"/>
  <c r="K31" i="2"/>
  <c r="K25" i="2"/>
  <c r="L22" i="2"/>
  <c r="L21" i="2"/>
  <c r="L27" i="2"/>
  <c r="L26" i="2"/>
  <c r="L20" i="2"/>
  <c r="L32" i="2"/>
  <c r="L31" i="2"/>
  <c r="L25" i="2"/>
  <c r="M22" i="2"/>
  <c r="M21" i="2"/>
  <c r="M27" i="2"/>
  <c r="M26" i="2"/>
  <c r="M20" i="2"/>
  <c r="M32" i="2"/>
  <c r="M31" i="2"/>
  <c r="M25" i="2"/>
  <c r="B21" i="26"/>
  <c r="B21" i="16"/>
  <c r="B27" i="20"/>
  <c r="B21" i="18"/>
  <c r="B21" i="27"/>
  <c r="B21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<sst xmlns="http://schemas.openxmlformats.org/spreadsheetml/2006/main" count="1413" uniqueCount="47">
  <si>
    <t>Original Data</t>
  </si>
  <si>
    <t>Specific Values</t>
  </si>
  <si>
    <t>Index Value</t>
  </si>
  <si>
    <t>Infill Type</t>
  </si>
  <si>
    <t>Infill Concentration</t>
  </si>
  <si>
    <t>Border number</t>
  </si>
  <si>
    <t>Mass (g)</t>
  </si>
  <si>
    <t>Ultimate Tensile Strength (kN)</t>
  </si>
  <si>
    <t>Modulus of Elasticity (MPa)</t>
  </si>
  <si>
    <t>Modulus of Resilience (MPa)</t>
  </si>
  <si>
    <t>Yield Strength (kN)</t>
  </si>
  <si>
    <t>Specific UTS ( kN/g)</t>
  </si>
  <si>
    <t>Specific Modulus of Elasticity (MPa/g)</t>
  </si>
  <si>
    <t>Specific Modulus of Resilience (MPa/g)</t>
  </si>
  <si>
    <t>Specifc Yield Strength (kN/g)</t>
  </si>
  <si>
    <t>N/a</t>
  </si>
  <si>
    <t>Inf</t>
  </si>
  <si>
    <t>Grid</t>
  </si>
  <si>
    <t>Cubic</t>
  </si>
  <si>
    <t>Gyroid</t>
  </si>
  <si>
    <t>Comparison - Infills</t>
  </si>
  <si>
    <t>Average Values for Given Infill</t>
  </si>
  <si>
    <t>Modulus of Elasticity (MPA)</t>
  </si>
  <si>
    <t>Modulus of Resilience</t>
  </si>
  <si>
    <t>Comparison - Infill Density</t>
  </si>
  <si>
    <t>Average Values for Given Infill Density</t>
  </si>
  <si>
    <t>Yield Strength (kN/g)</t>
  </si>
  <si>
    <t>Comparison - Border #</t>
  </si>
  <si>
    <t>Average Values for Given Border #</t>
  </si>
  <si>
    <t>Specific (divided by mass)</t>
  </si>
  <si>
    <t>Specific UTS (kN/g)</t>
  </si>
  <si>
    <t>Specifc Yield Strength (kN)</t>
  </si>
  <si>
    <t>Average Values for Given Infill Style</t>
  </si>
  <si>
    <t>Material</t>
  </si>
  <si>
    <t>Index</t>
  </si>
  <si>
    <t>ABS</t>
  </si>
  <si>
    <t>PLA</t>
  </si>
  <si>
    <t>PETG</t>
  </si>
  <si>
    <t>Infill</t>
  </si>
  <si>
    <t>Average Ultimate Strength</t>
  </si>
  <si>
    <t>Max Difference:</t>
  </si>
  <si>
    <t>AverageYield Strength (kN)</t>
  </si>
  <si>
    <t>Perimeters</t>
  </si>
  <si>
    <t>Borders</t>
  </si>
  <si>
    <t>Average Modulus of Resilience</t>
  </si>
  <si>
    <t>Average Yield Strength</t>
  </si>
  <si>
    <t>Average Modulus of Elasticity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</si>
</sst>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medium">
        <color rgb="FF000000"/>
      </right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/>
    <xf numFmtId="9" fontId="0" fillId="0" borderId="1" xfId="1" applyFont="1" applyBorder="1"/>
    <xf numFmtId="0" fontId="0" fillId="0" borderId="1" xfId="0" applyBorder="1" applyAlignment="1">
      <alignment horizontal="right" wrapText="1"/>
    </xf>
    <xf numFmtId="2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2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164" fontId="0" fillId="0" borderId="5" xfId="0" applyNumberFormat="1" applyBorder="1" applyAlignment="1">
      <alignment wrapText="1"/>
    </xf>
    <xf numFmtId="2" fontId="0" fillId="0" borderId="5" xfId="0" applyNumberFormat="1" applyBorder="1" applyAlignment="1">
      <alignment wrapText="1"/>
    </xf>
    <xf numFmtId="0" fontId="2" fillId="0" borderId="8" xfId="0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19" xfId="0" applyBorder="1"/>
    <xf numFmtId="9" fontId="0" fillId="0" borderId="19" xfId="1" applyFont="1" applyBorder="1"/>
    <xf numFmtId="0" fontId="0" fillId="0" borderId="19" xfId="0" applyBorder="1" applyAlignment="1">
      <alignment wrapText="1"/>
    </xf>
    <xf numFmtId="164" fontId="0" fillId="0" borderId="19" xfId="0" applyNumberFormat="1" applyBorder="1" applyAlignment="1">
      <alignment wrapText="1"/>
    </xf>
    <xf numFmtId="2" fontId="0" fillId="0" borderId="19" xfId="0" applyNumberFormat="1" applyBorder="1" applyAlignment="1">
      <alignment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2" fillId="0" borderId="24" xfId="0" applyFont="1" applyBorder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5" fontId="0" fillId="0" borderId="0" xfId="0" applyNumberFormat="1"/>
    <xf numFmtId="165" fontId="0" fillId="0" borderId="1" xfId="0" applyNumberFormat="1" applyBorder="1" applyAlignment="1">
      <alignment wrapText="1"/>
    </xf>
    <xf numFmtId="165" fontId="0" fillId="0" borderId="19" xfId="0" applyNumberFormat="1" applyBorder="1" applyAlignment="1">
      <alignment wrapText="1"/>
    </xf>
    <xf numFmtId="166" fontId="0" fillId="0" borderId="1" xfId="0" applyNumberFormat="1" applyBorder="1" applyAlignment="1">
      <alignment wrapText="1"/>
    </xf>
    <xf numFmtId="166" fontId="0" fillId="0" borderId="19" xfId="0" applyNumberFormat="1" applyBorder="1" applyAlignment="1">
      <alignment wrapText="1"/>
    </xf>
    <xf numFmtId="165" fontId="0" fillId="0" borderId="4" xfId="0" applyNumberFormat="1" applyBorder="1" applyAlignment="1">
      <alignment wrapText="1"/>
    </xf>
    <xf numFmtId="165" fontId="0" fillId="0" borderId="20" xfId="0" applyNumberFormat="1" applyBorder="1" applyAlignment="1">
      <alignment wrapText="1"/>
    </xf>
    <xf numFmtId="165" fontId="0" fillId="0" borderId="5" xfId="0" applyNumberFormat="1" applyBorder="1" applyAlignment="1">
      <alignment wrapText="1"/>
    </xf>
    <xf numFmtId="165" fontId="0" fillId="0" borderId="6" xfId="0" applyNumberFormat="1" applyBorder="1" applyAlignment="1">
      <alignment wrapText="1"/>
    </xf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1" xfId="0" applyFont="1" applyFill="1" applyBorder="1"/>
    <xf numFmtId="0" fontId="2" fillId="5" borderId="25" xfId="0" applyFont="1" applyFill="1" applyBorder="1"/>
    <xf numFmtId="0" fontId="2" fillId="5" borderId="10" xfId="0" applyFont="1" applyFill="1" applyBorder="1"/>
    <xf numFmtId="0" fontId="2" fillId="5" borderId="0" xfId="0" applyFont="1" applyFill="1"/>
    <xf numFmtId="9" fontId="2" fillId="6" borderId="13" xfId="0" applyNumberFormat="1" applyFont="1" applyFill="1" applyBorder="1"/>
    <xf numFmtId="0" fontId="2" fillId="6" borderId="13" xfId="0" applyFont="1" applyFill="1" applyBorder="1" applyAlignment="1">
      <alignment wrapText="1"/>
    </xf>
    <xf numFmtId="0" fontId="2" fillId="6" borderId="0" xfId="0" applyFont="1" applyFill="1"/>
    <xf numFmtId="9" fontId="2" fillId="6" borderId="0" xfId="0" applyNumberFormat="1" applyFont="1" applyFill="1"/>
    <xf numFmtId="0" fontId="2" fillId="6" borderId="0" xfId="0" applyFont="1" applyFill="1" applyAlignment="1">
      <alignment wrapText="1"/>
    </xf>
    <xf numFmtId="0" fontId="2" fillId="6" borderId="13" xfId="0" applyFont="1" applyFill="1" applyBorder="1"/>
    <xf numFmtId="0" fontId="0" fillId="0" borderId="17" xfId="0" applyBorder="1"/>
    <xf numFmtId="0" fontId="0" fillId="0" borderId="21" xfId="0" applyBorder="1"/>
    <xf numFmtId="0" fontId="2" fillId="7" borderId="7" xfId="0" applyFont="1" applyFill="1" applyBorder="1" applyAlignment="1">
      <alignment horizontal="center" wrapText="1"/>
    </xf>
    <xf numFmtId="0" fontId="2" fillId="7" borderId="8" xfId="0" applyFont="1" applyFill="1" applyBorder="1" applyAlignment="1">
      <alignment wrapText="1"/>
    </xf>
    <xf numFmtId="0" fontId="0" fillId="7" borderId="10" xfId="0" applyFill="1" applyBorder="1"/>
    <xf numFmtId="0" fontId="0" fillId="7" borderId="0" xfId="0" applyFill="1"/>
    <xf numFmtId="0" fontId="0" fillId="7" borderId="12" xfId="0" applyFill="1" applyBorder="1"/>
    <xf numFmtId="0" fontId="0" fillId="7" borderId="13" xfId="0" applyFill="1" applyBorder="1"/>
    <xf numFmtId="0" fontId="2" fillId="0" borderId="37" xfId="0" applyFont="1" applyBorder="1" applyAlignment="1">
      <alignment wrapText="1"/>
    </xf>
    <xf numFmtId="0" fontId="2" fillId="0" borderId="38" xfId="0" applyFont="1" applyBorder="1" applyAlignment="1">
      <alignment wrapText="1"/>
    </xf>
    <xf numFmtId="164" fontId="2" fillId="0" borderId="38" xfId="0" applyNumberFormat="1" applyFont="1" applyBorder="1" applyAlignment="1">
      <alignment wrapText="1"/>
    </xf>
    <xf numFmtId="0" fontId="2" fillId="0" borderId="39" xfId="0" applyFont="1" applyBorder="1" applyAlignment="1">
      <alignment wrapText="1"/>
    </xf>
    <xf numFmtId="0" fontId="3" fillId="0" borderId="40" xfId="0" applyFont="1" applyBorder="1" applyAlignment="1">
      <alignment wrapText="1"/>
    </xf>
    <xf numFmtId="0" fontId="3" fillId="0" borderId="41" xfId="0" applyFont="1" applyBorder="1" applyAlignment="1">
      <alignment wrapText="1"/>
    </xf>
    <xf numFmtId="0" fontId="3" fillId="0" borderId="42" xfId="0" applyFont="1" applyBorder="1" applyAlignment="1">
      <alignment wrapText="1"/>
    </xf>
    <xf numFmtId="165" fontId="0" fillId="0" borderId="33" xfId="0" applyNumberFormat="1" applyBorder="1"/>
    <xf numFmtId="165" fontId="0" fillId="0" borderId="31" xfId="0" applyNumberFormat="1" applyBorder="1"/>
    <xf numFmtId="165" fontId="0" fillId="0" borderId="32" xfId="0" applyNumberFormat="1" applyBorder="1"/>
    <xf numFmtId="165" fontId="0" fillId="0" borderId="29" xfId="0" applyNumberFormat="1" applyBorder="1"/>
    <xf numFmtId="165" fontId="0" fillId="0" borderId="26" xfId="0" applyNumberFormat="1" applyBorder="1"/>
    <xf numFmtId="165" fontId="0" fillId="0" borderId="30" xfId="0" applyNumberFormat="1" applyBorder="1"/>
    <xf numFmtId="165" fontId="0" fillId="0" borderId="43" xfId="0" applyNumberFormat="1" applyBorder="1"/>
    <xf numFmtId="165" fontId="0" fillId="0" borderId="44" xfId="0" applyNumberFormat="1" applyBorder="1"/>
    <xf numFmtId="165" fontId="0" fillId="0" borderId="45" xfId="0" applyNumberFormat="1" applyBorder="1"/>
    <xf numFmtId="165" fontId="0" fillId="0" borderId="17" xfId="0" applyNumberFormat="1" applyBorder="1" applyAlignment="1">
      <alignment wrapText="1"/>
    </xf>
    <xf numFmtId="165" fontId="0" fillId="0" borderId="21" xfId="0" applyNumberFormat="1" applyBorder="1" applyAlignment="1">
      <alignment wrapText="1"/>
    </xf>
    <xf numFmtId="165" fontId="0" fillId="0" borderId="18" xfId="0" applyNumberFormat="1" applyBorder="1" applyAlignment="1">
      <alignment wrapText="1"/>
    </xf>
    <xf numFmtId="165" fontId="0" fillId="0" borderId="27" xfId="0" applyNumberFormat="1" applyBorder="1"/>
    <xf numFmtId="165" fontId="0" fillId="0" borderId="28" xfId="0" applyNumberFormat="1" applyBorder="1"/>
    <xf numFmtId="9" fontId="0" fillId="0" borderId="0" xfId="1" applyFont="1" applyAlignment="1">
      <alignment wrapText="1"/>
    </xf>
    <xf numFmtId="9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2" fillId="0" borderId="0" xfId="0" applyFont="1" applyAlignment="1">
      <alignment horizontal="center" wrapText="1"/>
    </xf>
    <xf numFmtId="9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166" fontId="5" fillId="0" borderId="0" xfId="0" applyNumberFormat="1" applyFont="1" applyAlignment="1">
      <alignment wrapText="1"/>
    </xf>
    <xf numFmtId="165" fontId="5" fillId="0" borderId="0" xfId="0" applyNumberFormat="1" applyFont="1"/>
    <xf numFmtId="0" fontId="5" fillId="0" borderId="1" xfId="0" applyFont="1" applyBorder="1"/>
    <xf numFmtId="0" fontId="5" fillId="0" borderId="49" xfId="0" applyFont="1" applyBorder="1"/>
    <xf numFmtId="9" fontId="5" fillId="0" borderId="50" xfId="1" applyFont="1" applyFill="1" applyBorder="1"/>
    <xf numFmtId="0" fontId="5" fillId="0" borderId="51" xfId="0" applyFont="1" applyBorder="1"/>
    <xf numFmtId="0" fontId="5" fillId="0" borderId="52" xfId="0" applyFont="1" applyBorder="1"/>
    <xf numFmtId="9" fontId="5" fillId="0" borderId="53" xfId="1" applyFont="1" applyFill="1" applyBorder="1"/>
    <xf numFmtId="0" fontId="6" fillId="8" borderId="47" xfId="0" applyFont="1" applyFill="1" applyBorder="1" applyAlignment="1">
      <alignment wrapText="1"/>
    </xf>
    <xf numFmtId="0" fontId="6" fillId="9" borderId="48" xfId="0" applyFont="1" applyFill="1" applyBorder="1" applyAlignment="1">
      <alignment wrapText="1"/>
    </xf>
    <xf numFmtId="0" fontId="6" fillId="4" borderId="46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horizontal="center" wrapText="1"/>
    </xf>
  </cellXfs>
  <cellStyles count="2">
    <cellStyle name="Normal" xfId="0" builtinId="0"/>
    <cellStyle name="Percent" xfId="1" builtinId="5"/>
  </cellStyles>
  <dxfs count="38">
    <dxf>
      <numFmt numFmtId="165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0.0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6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Style Comparison - UTS'!$B$16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UTS'!$A$17:$A$19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UTS'!$B$17:$B$19</c:f>
              <c:numCache>
                <c:formatCode>0.00</c:formatCode>
                <c:ptCount val="3"/>
                <c:pt idx="0">
                  <c:v>2.1547000000000005</c:v>
                </c:pt>
                <c:pt idx="1">
                  <c:v>2.3467333333333333</c:v>
                </c:pt>
                <c:pt idx="2">
                  <c:v>2.1750249999999998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8-4D88-8470-28B7C53C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UTS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UTS'!$M$4:$O$4</c:f>
              <c:numCache>
                <c:formatCode>0.00</c:formatCode>
                <c:ptCount val="3"/>
                <c:pt idx="0">
                  <c:v>1.335</c:v>
                </c:pt>
                <c:pt idx="1">
                  <c:v>1.4693000000000001</c:v>
                </c:pt>
                <c:pt idx="2">
                  <c:v>1.4342999999999999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EE7E-41B9-897B-99E55075DC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UTS'!$M$5:$O$5</c:f>
              <c:numCache>
                <c:formatCode>0.00</c:formatCode>
                <c:ptCount val="3"/>
                <c:pt idx="0">
                  <c:v>1.4450000000000001</c:v>
                </c:pt>
                <c:pt idx="1">
                  <c:v>1.8183</c:v>
                </c:pt>
                <c:pt idx="2">
                  <c:v>1.5629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EE7E-41B9-897B-99E55075DC8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UTS'!$M$6:$O$6</c:f>
              <c:numCache>
                <c:formatCode>0.00</c:formatCode>
                <c:ptCount val="3"/>
                <c:pt idx="0">
                  <c:v>1.8508</c:v>
                </c:pt>
                <c:pt idx="1">
                  <c:v>2.0701999999999998</c:v>
                </c:pt>
                <c:pt idx="2">
                  <c:v>1.8688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EE7E-41B9-897B-99E55075DC8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UTS'!$M$7:$O$7</c:f>
              <c:numCache>
                <c:formatCode>0.00</c:formatCode>
                <c:ptCount val="3"/>
                <c:pt idx="0">
                  <c:v>2.1374</c:v>
                </c:pt>
                <c:pt idx="1">
                  <c:v>2.3704999999999998</c:v>
                </c:pt>
                <c:pt idx="2">
                  <c:v>2.1360999999999999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F-4705-9BE8-C708C96C9D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UTS'!$M$8:$O$8</c:f>
              <c:numCache>
                <c:formatCode>0.00</c:formatCode>
                <c:ptCount val="3"/>
                <c:pt idx="0">
                  <c:v>1.7476</c:v>
                </c:pt>
                <c:pt idx="1">
                  <c:v>2.1301999999999999</c:v>
                </c:pt>
                <c:pt idx="2">
                  <c:v>2.0438000000000001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F-4705-9BE8-C708C96C9D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UTS'!$M$9:$O$9</c:f>
              <c:numCache>
                <c:formatCode>0.00</c:formatCode>
                <c:ptCount val="3"/>
                <c:pt idx="0">
                  <c:v>2.4641999999999999</c:v>
                </c:pt>
                <c:pt idx="1">
                  <c:v>2.6031</c:v>
                </c:pt>
                <c:pt idx="2">
                  <c:v>2.3403999999999998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F-4705-9BE8-C708C96C9D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UTS'!$M$10:$O$10</c:f>
              <c:numCache>
                <c:formatCode>0.00</c:formatCode>
                <c:ptCount val="3"/>
                <c:pt idx="0">
                  <c:v>2.8334000000000001</c:v>
                </c:pt>
                <c:pt idx="1">
                  <c:v>2.8893</c:v>
                </c:pt>
                <c:pt idx="2">
                  <c:v>2.6368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8F-4705-9BE8-C708C96C9D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UTS'!$M$11:$O$11</c:f>
              <c:numCache>
                <c:formatCode>0.00</c:formatCode>
                <c:ptCount val="3"/>
                <c:pt idx="0">
                  <c:v>2.8868</c:v>
                </c:pt>
                <c:pt idx="1">
                  <c:v>3.2658</c:v>
                </c:pt>
                <c:pt idx="2">
                  <c:v>3.1633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8F-4705-9BE8-C708C96C9D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UTS'!$M$12:$O$12</c:f>
              <c:numCache>
                <c:formatCode>0.00</c:formatCode>
                <c:ptCount val="3"/>
                <c:pt idx="0">
                  <c:v>2.0192000000000001</c:v>
                </c:pt>
                <c:pt idx="1">
                  <c:v>1.7901</c:v>
                </c:pt>
                <c:pt idx="2">
                  <c:v>1.7519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8F-4705-9BE8-C708C96C9D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UTS'!$M$13:$O$13</c:f>
              <c:numCache>
                <c:formatCode>0.00</c:formatCode>
                <c:ptCount val="3"/>
                <c:pt idx="0">
                  <c:v>2.2999999999999998</c:v>
                </c:pt>
                <c:pt idx="1">
                  <c:v>2.2187999999999999</c:v>
                </c:pt>
                <c:pt idx="2">
                  <c:v>2.1164000000000001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8F-4705-9BE8-C708C96C9D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UTS'!$M$14:$O$14</c:f>
              <c:numCache>
                <c:formatCode>0.00</c:formatCode>
                <c:ptCount val="3"/>
                <c:pt idx="0">
                  <c:v>2.3268</c:v>
                </c:pt>
                <c:pt idx="1">
                  <c:v>2.5668000000000002</c:v>
                </c:pt>
                <c:pt idx="2">
                  <c:v>2.4034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F8F-4705-9BE8-C708C96C9D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UTS'!$M$3:$O$3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UTS'!$M$15:$O$15</c:f>
              <c:numCache>
                <c:formatCode>0.00</c:formatCode>
                <c:ptCount val="3"/>
                <c:pt idx="0">
                  <c:v>2.5102000000000002</c:v>
                </c:pt>
                <c:pt idx="1">
                  <c:v>2.9683999999999999</c:v>
                </c:pt>
                <c:pt idx="2">
                  <c:v>2.6421999999999999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8F-4705-9BE8-C708C96C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Style Comparison - MoE'!$B$16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MoE'!$A$17:$A$19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MoE'!$B$17:$B$19</c:f>
              <c:numCache>
                <c:formatCode>0.00</c:formatCode>
                <c:ptCount val="3"/>
                <c:pt idx="0">
                  <c:v>266.05749999999995</c:v>
                </c:pt>
                <c:pt idx="1">
                  <c:v>302.60083333333336</c:v>
                </c:pt>
                <c:pt idx="2">
                  <c:v>278.90333333333331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6-414B-BC19-CF1D38D1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UTS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MoE'!$M$4:$O$4</c:f>
              <c:numCache>
                <c:formatCode>0.00</c:formatCode>
                <c:ptCount val="3"/>
                <c:pt idx="0">
                  <c:v>205.66</c:v>
                </c:pt>
                <c:pt idx="1">
                  <c:v>227.06</c:v>
                </c:pt>
                <c:pt idx="2">
                  <c:v>190.34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3-4D1D-AA6A-5C3306909A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MoE'!$M$5:$O$5</c:f>
              <c:numCache>
                <c:formatCode>0.00</c:formatCode>
                <c:ptCount val="3"/>
                <c:pt idx="0">
                  <c:v>201.67</c:v>
                </c:pt>
                <c:pt idx="1">
                  <c:v>250.75</c:v>
                </c:pt>
                <c:pt idx="2">
                  <c:v>238.64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3-4D1D-AA6A-5C3306909A1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MoE'!$M$6:$O$6</c:f>
              <c:numCache>
                <c:formatCode>0.00</c:formatCode>
                <c:ptCount val="3"/>
                <c:pt idx="0">
                  <c:v>252.92</c:v>
                </c:pt>
                <c:pt idx="1">
                  <c:v>318.51</c:v>
                </c:pt>
                <c:pt idx="2">
                  <c:v>277.42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53-4D1D-AA6A-5C3306909A1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MoE'!$M$7:$O$7</c:f>
              <c:numCache>
                <c:formatCode>0.00</c:formatCode>
                <c:ptCount val="3"/>
                <c:pt idx="0">
                  <c:v>276.22000000000003</c:v>
                </c:pt>
                <c:pt idx="1">
                  <c:v>326.7</c:v>
                </c:pt>
                <c:pt idx="2">
                  <c:v>285.92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53-4D1D-AA6A-5C3306909A1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MoE'!$M$8:$O$8</c:f>
              <c:numCache>
                <c:formatCode>0.00</c:formatCode>
                <c:ptCount val="3"/>
                <c:pt idx="0">
                  <c:v>254.67</c:v>
                </c:pt>
                <c:pt idx="1">
                  <c:v>319.06</c:v>
                </c:pt>
                <c:pt idx="2">
                  <c:v>295.55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53-4D1D-AA6A-5C3306909A1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MoE'!$M$9:$O$9</c:f>
              <c:numCache>
                <c:formatCode>0.00</c:formatCode>
                <c:ptCount val="3"/>
                <c:pt idx="0">
                  <c:v>369.98</c:v>
                </c:pt>
                <c:pt idx="1">
                  <c:v>390.65</c:v>
                </c:pt>
                <c:pt idx="2">
                  <c:v>332.1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53-4D1D-AA6A-5C3306909A1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MoE'!$M$10:$O$10</c:f>
              <c:numCache>
                <c:formatCode>0.00</c:formatCode>
                <c:ptCount val="3"/>
                <c:pt idx="0">
                  <c:v>403.11</c:v>
                </c:pt>
                <c:pt idx="1">
                  <c:v>423.57</c:v>
                </c:pt>
                <c:pt idx="2">
                  <c:v>401.55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3-4D1D-AA6A-5C3306909A1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MoE'!$M$11:$O$11</c:f>
              <c:numCache>
                <c:formatCode>0.00</c:formatCode>
                <c:ptCount val="3"/>
                <c:pt idx="0">
                  <c:v>414.66</c:v>
                </c:pt>
                <c:pt idx="1">
                  <c:v>483.77</c:v>
                </c:pt>
                <c:pt idx="2">
                  <c:v>490.71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53-4D1D-AA6A-5C3306909A1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MoE'!$M$12:$O$12</c:f>
              <c:numCache>
                <c:formatCode>0.00</c:formatCode>
                <c:ptCount val="3"/>
                <c:pt idx="0">
                  <c:v>176.33</c:v>
                </c:pt>
                <c:pt idx="1">
                  <c:v>162.5</c:v>
                </c:pt>
                <c:pt idx="2">
                  <c:v>158.37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53-4D1D-AA6A-5C3306909A1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MoE'!$M$13:$O$13</c:f>
              <c:numCache>
                <c:formatCode>0.00</c:formatCode>
                <c:ptCount val="3"/>
                <c:pt idx="0">
                  <c:v>198.2</c:v>
                </c:pt>
                <c:pt idx="1">
                  <c:v>196.94</c:v>
                </c:pt>
                <c:pt idx="2">
                  <c:v>183.51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53-4D1D-AA6A-5C3306909A1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MoE'!$M$14:$O$14</c:f>
              <c:numCache>
                <c:formatCode>0.00</c:formatCode>
                <c:ptCount val="3"/>
                <c:pt idx="0">
                  <c:v>216.39</c:v>
                </c:pt>
                <c:pt idx="1">
                  <c:v>234.1</c:v>
                </c:pt>
                <c:pt idx="2">
                  <c:v>239.77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53-4D1D-AA6A-5C3306909A1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MoE'!$M$3:$O$3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MoE'!$M$15:$O$15</c:f>
              <c:numCache>
                <c:formatCode>0.00</c:formatCode>
                <c:ptCount val="3"/>
                <c:pt idx="0">
                  <c:v>222.88</c:v>
                </c:pt>
                <c:pt idx="1">
                  <c:v>297.60000000000002</c:v>
                </c:pt>
                <c:pt idx="2">
                  <c:v>252.96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53-4D1D-AA6A-5C3306909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Modulus of Resilience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Style Comparison - MoR'!$B$16</c:f>
              <c:strCache>
                <c:ptCount val="1"/>
                <c:pt idx="0">
                  <c:v>Average Modulus of Resilience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MoR'!$A$17:$A$19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MoR'!$B$17:$B$19</c:f>
              <c:numCache>
                <c:formatCode>0.00</c:formatCode>
                <c:ptCount val="3"/>
                <c:pt idx="0">
                  <c:v>6.2016666666666664E-2</c:v>
                </c:pt>
                <c:pt idx="1">
                  <c:v>7.8125000000000014E-2</c:v>
                </c:pt>
                <c:pt idx="2">
                  <c:v>7.1191666666666667E-2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F-427B-82A9-881406D60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Modulus of Resilience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MoR'!$M$4:$O$4</c:f>
              <c:numCache>
                <c:formatCode>0.00</c:formatCode>
                <c:ptCount val="3"/>
                <c:pt idx="0">
                  <c:v>2.07E-2</c:v>
                </c:pt>
                <c:pt idx="1">
                  <c:v>1.61E-2</c:v>
                </c:pt>
                <c:pt idx="2">
                  <c:v>5.8700000000000002E-2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9-4647-A654-1E52B8574E4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MoR'!$M$5:$O$5</c:f>
              <c:numCache>
                <c:formatCode>0.00</c:formatCode>
                <c:ptCount val="3"/>
                <c:pt idx="0">
                  <c:v>6.0999999999999999E-2</c:v>
                </c:pt>
                <c:pt idx="1">
                  <c:v>8.9300000000000004E-2</c:v>
                </c:pt>
                <c:pt idx="2">
                  <c:v>2.5600000000000001E-2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A9-4647-A654-1E52B8574E4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MoR'!$M$6:$O$6</c:f>
              <c:numCache>
                <c:formatCode>0.00</c:formatCode>
                <c:ptCount val="3"/>
                <c:pt idx="0">
                  <c:v>1.61E-2</c:v>
                </c:pt>
                <c:pt idx="1">
                  <c:v>2.0199999999999999E-2</c:v>
                </c:pt>
                <c:pt idx="2">
                  <c:v>3.9199999999999999E-2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A9-4647-A654-1E52B8574E4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MoR'!$M$7:$O$7</c:f>
              <c:numCache>
                <c:formatCode>0.00</c:formatCode>
                <c:ptCount val="3"/>
                <c:pt idx="0">
                  <c:v>8.9300000000000004E-2</c:v>
                </c:pt>
                <c:pt idx="1">
                  <c:v>0.1067</c:v>
                </c:pt>
                <c:pt idx="2">
                  <c:v>9.69E-2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A9-4647-A654-1E52B8574E4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MoR'!$M$8:$O$8</c:f>
              <c:numCache>
                <c:formatCode>0.00</c:formatCode>
                <c:ptCount val="3"/>
                <c:pt idx="0">
                  <c:v>5.8700000000000002E-2</c:v>
                </c:pt>
                <c:pt idx="1">
                  <c:v>6.7299999999999999E-2</c:v>
                </c:pt>
                <c:pt idx="2">
                  <c:v>8.14E-2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A9-4647-A654-1E52B8574E4A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MoR'!$M$9:$O$9</c:f>
              <c:numCache>
                <c:formatCode>0.00</c:formatCode>
                <c:ptCount val="3"/>
                <c:pt idx="0">
                  <c:v>2.5600000000000001E-2</c:v>
                </c:pt>
                <c:pt idx="1">
                  <c:v>0.12230000000000001</c:v>
                </c:pt>
                <c:pt idx="2">
                  <c:v>0.1101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A9-4647-A654-1E52B8574E4A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MoR'!$M$10:$O$10</c:f>
              <c:numCache>
                <c:formatCode>0.00</c:formatCode>
                <c:ptCount val="3"/>
                <c:pt idx="0">
                  <c:v>7.9100000000000004E-2</c:v>
                </c:pt>
                <c:pt idx="1">
                  <c:v>7.0400000000000004E-2</c:v>
                </c:pt>
                <c:pt idx="2">
                  <c:v>9.0700000000000003E-2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A9-4647-A654-1E52B8574E4A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MoR'!$M$11:$O$11</c:f>
              <c:numCache>
                <c:formatCode>0.00</c:formatCode>
                <c:ptCount val="3"/>
                <c:pt idx="0">
                  <c:v>0.13070000000000001</c:v>
                </c:pt>
                <c:pt idx="1">
                  <c:v>0.13370000000000001</c:v>
                </c:pt>
                <c:pt idx="2">
                  <c:v>6.6299999999999998E-2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A9-4647-A654-1E52B8574E4A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MoR'!$M$12:$O$12</c:f>
              <c:numCache>
                <c:formatCode>0.00</c:formatCode>
                <c:ptCount val="3"/>
                <c:pt idx="0">
                  <c:v>2.0199999999999999E-2</c:v>
                </c:pt>
                <c:pt idx="1">
                  <c:v>7.5200000000000003E-2</c:v>
                </c:pt>
                <c:pt idx="2">
                  <c:v>4.0099999999999997E-2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A9-4647-A654-1E52B8574E4A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MoR'!$M$13:$O$13</c:f>
              <c:numCache>
                <c:formatCode>0.00</c:formatCode>
                <c:ptCount val="3"/>
                <c:pt idx="0">
                  <c:v>0.1067</c:v>
                </c:pt>
                <c:pt idx="1">
                  <c:v>0.11849999999999999</c:v>
                </c:pt>
                <c:pt idx="2">
                  <c:v>0.12039999999999999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A9-4647-A654-1E52B8574E4A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MoR'!$M$14:$O$14</c:f>
              <c:numCache>
                <c:formatCode>0.00</c:formatCode>
                <c:ptCount val="3"/>
                <c:pt idx="0">
                  <c:v>3.9199999999999999E-2</c:v>
                </c:pt>
                <c:pt idx="1">
                  <c:v>7.2300000000000003E-2</c:v>
                </c:pt>
                <c:pt idx="2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A9-4647-A654-1E52B8574E4A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MoR'!$M$3:$O$3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MoR'!$M$15:$O$15</c:f>
              <c:numCache>
                <c:formatCode>0.00</c:formatCode>
                <c:ptCount val="3"/>
                <c:pt idx="0">
                  <c:v>9.69E-2</c:v>
                </c:pt>
                <c:pt idx="1">
                  <c:v>4.5499999999999999E-2</c:v>
                </c:pt>
                <c:pt idx="2">
                  <c:v>7.9399999999999998E-2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4A9-4647-A654-1E52B8574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Style Comparison - YS'!$B$16</c:f>
              <c:strCache>
                <c:ptCount val="1"/>
                <c:pt idx="0">
                  <c:v>Average Yield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YS'!$A$17:$A$19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YS'!$B$17:$B$19</c:f>
              <c:numCache>
                <c:formatCode>0.00</c:formatCode>
                <c:ptCount val="3"/>
                <c:pt idx="0">
                  <c:v>0.94594166666666668</c:v>
                </c:pt>
                <c:pt idx="1">
                  <c:v>1.1672</c:v>
                </c:pt>
                <c:pt idx="2">
                  <c:v>1.0811833333333334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7-499B-8F56-F3F436ED6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YS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YS'!$M$4:$O$4</c:f>
              <c:numCache>
                <c:formatCode>0.00</c:formatCode>
                <c:ptCount val="3"/>
                <c:pt idx="0">
                  <c:v>0.50519999999999998</c:v>
                </c:pt>
                <c:pt idx="1">
                  <c:v>0.4627</c:v>
                </c:pt>
                <c:pt idx="2">
                  <c:v>0.8357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4-4819-9A06-3EFACE35D77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YS'!$M$5:$O$5</c:f>
              <c:numCache>
                <c:formatCode>0.00</c:formatCode>
                <c:ptCount val="3"/>
                <c:pt idx="0">
                  <c:v>0.88429999999999997</c:v>
                </c:pt>
                <c:pt idx="1">
                  <c:v>1.1915</c:v>
                </c:pt>
                <c:pt idx="2">
                  <c:v>0.60750000000000004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4-4819-9A06-3EFACE35D77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YS'!$M$6:$O$6</c:f>
              <c:numCache>
                <c:formatCode>0.00</c:formatCode>
                <c:ptCount val="3"/>
                <c:pt idx="0">
                  <c:v>0.4627</c:v>
                </c:pt>
                <c:pt idx="1">
                  <c:v>0.60750000000000004</c:v>
                </c:pt>
                <c:pt idx="2">
                  <c:v>0.81379999999999997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4-4819-9A06-3EFACE35D77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YS'!$M$7:$O$7</c:f>
              <c:numCache>
                <c:formatCode>0.00</c:formatCode>
                <c:ptCount val="3"/>
                <c:pt idx="0">
                  <c:v>1.1915</c:v>
                </c:pt>
                <c:pt idx="1">
                  <c:v>1.4839</c:v>
                </c:pt>
                <c:pt idx="2">
                  <c:v>1.3223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4-4819-9A06-3EFACE35D77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YS'!$M$8:$O$8</c:f>
              <c:numCache>
                <c:formatCode>0.00</c:formatCode>
                <c:ptCount val="3"/>
                <c:pt idx="0">
                  <c:v>0.8357</c:v>
                </c:pt>
                <c:pt idx="1">
                  <c:v>1.1477999999999999</c:v>
                </c:pt>
                <c:pt idx="2">
                  <c:v>1.2306999999999999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4-4819-9A06-3EFACE35D77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YS'!$M$9:$O$9</c:f>
              <c:numCache>
                <c:formatCode>0.00</c:formatCode>
                <c:ptCount val="3"/>
                <c:pt idx="0">
                  <c:v>0.60750000000000004</c:v>
                </c:pt>
                <c:pt idx="1">
                  <c:v>1.7310000000000001</c:v>
                </c:pt>
                <c:pt idx="2">
                  <c:v>1.5125999999999999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4-4819-9A06-3EFACE35D77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YS'!$M$10:$O$10</c:f>
              <c:numCache>
                <c:formatCode>0.00</c:formatCode>
                <c:ptCount val="3"/>
                <c:pt idx="0">
                  <c:v>1.1189</c:v>
                </c:pt>
                <c:pt idx="1">
                  <c:v>1.35</c:v>
                </c:pt>
                <c:pt idx="2">
                  <c:v>1.4959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4-4819-9A06-3EFACE35D77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YS'!$M$11:$O$11</c:f>
              <c:numCache>
                <c:formatCode>0.00</c:formatCode>
                <c:ptCount val="3"/>
                <c:pt idx="0">
                  <c:v>1.518</c:v>
                </c:pt>
                <c:pt idx="1">
                  <c:v>2.0055999999999998</c:v>
                </c:pt>
                <c:pt idx="2">
                  <c:v>1.401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4-4819-9A06-3EFACE35D77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YS'!$M$12:$O$12</c:f>
              <c:numCache>
                <c:formatCode>0.00</c:formatCode>
                <c:ptCount val="3"/>
                <c:pt idx="0">
                  <c:v>0.60750000000000004</c:v>
                </c:pt>
                <c:pt idx="1">
                  <c:v>0.85489999999999999</c:v>
                </c:pt>
                <c:pt idx="2">
                  <c:v>0.63260000000000005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54-4819-9A06-3EFACE35D77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YS'!$M$13:$O$13</c:f>
              <c:numCache>
                <c:formatCode>0.00</c:formatCode>
                <c:ptCount val="3"/>
                <c:pt idx="0">
                  <c:v>1.4839</c:v>
                </c:pt>
                <c:pt idx="1">
                  <c:v>1.2203999999999999</c:v>
                </c:pt>
                <c:pt idx="2">
                  <c:v>1.1698999999999999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54-4819-9A06-3EFACE35D77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YS'!$M$14:$O$14</c:f>
              <c:numCache>
                <c:formatCode>0.00</c:formatCode>
                <c:ptCount val="3"/>
                <c:pt idx="0">
                  <c:v>0.81379999999999997</c:v>
                </c:pt>
                <c:pt idx="1">
                  <c:v>1.0248999999999999</c:v>
                </c:pt>
                <c:pt idx="2">
                  <c:v>0.82030000000000003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54-4819-9A06-3EFACE35D77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'Infill Style Comparison - YS'!$M$3:$O$3</c:f>
              <c:strCache>
                <c:ptCount val="3"/>
                <c:pt idx="0">
                  <c:v>Grid</c:v>
                </c:pt>
                <c:pt idx="1">
                  <c:v>Cubic</c:v>
                </c:pt>
                <c:pt idx="2">
                  <c:v>Gyroid</c:v>
                </c:pt>
              </c:strCache>
            </c:strRef>
          </c:cat>
          <c:val>
            <c:numRef>
              <c:f>'Infill Style Comparison - YS'!$M$15:$O$15</c:f>
              <c:numCache>
                <c:formatCode>0.00</c:formatCode>
                <c:ptCount val="3"/>
                <c:pt idx="0">
                  <c:v>1.3223</c:v>
                </c:pt>
                <c:pt idx="1">
                  <c:v>0.92620000000000002</c:v>
                </c:pt>
                <c:pt idx="2">
                  <c:v>1.1318999999999999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C54-4819-9A06-3EFACE35D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Density Comparison - UTS'!$B$22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UTS'!$A$23:$A$25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UTS'!$B$23:$B$25</c:f>
              <c:numCache>
                <c:formatCode>0.00</c:formatCode>
                <c:ptCount val="3"/>
                <c:pt idx="0">
                  <c:v>2.12785</c:v>
                </c:pt>
                <c:pt idx="1">
                  <c:v>2.0648722222222222</c:v>
                </c:pt>
                <c:pt idx="2">
                  <c:v>2.3860999999999999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5-40B1-AD0B-60AC54F4D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UTS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UTS'!$P$42:$R$42</c:f>
              <c:numCache>
                <c:formatCode>0.00</c:formatCode>
                <c:ptCount val="3"/>
                <c:pt idx="0">
                  <c:v>1.6811</c:v>
                </c:pt>
                <c:pt idx="1">
                  <c:v>1.335</c:v>
                </c:pt>
                <c:pt idx="2">
                  <c:v>1.4450000000000001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B-42F0-8113-8DB281B0BB9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UTS'!$P$43:$R$43</c:f>
              <c:numCache>
                <c:formatCode>0.00</c:formatCode>
                <c:ptCount val="3"/>
                <c:pt idx="0">
                  <c:v>2.8111999999999999</c:v>
                </c:pt>
                <c:pt idx="1">
                  <c:v>1.4693000000000001</c:v>
                </c:pt>
                <c:pt idx="2">
                  <c:v>1.8183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B-42F0-8113-8DB281B0BB9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UTS'!$P$44:$R$44</c:f>
              <c:numCache>
                <c:formatCode>0.00</c:formatCode>
                <c:ptCount val="3"/>
                <c:pt idx="0">
                  <c:v>1.6182000000000001</c:v>
                </c:pt>
                <c:pt idx="1">
                  <c:v>1.4342999999999999</c:v>
                </c:pt>
                <c:pt idx="2">
                  <c:v>1.5629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2B-42F0-8113-8DB281B0BB9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UTS'!$P$45:$R$45</c:f>
              <c:numCache>
                <c:formatCode>0.00</c:formatCode>
                <c:ptCount val="3"/>
                <c:pt idx="0">
                  <c:v>2.4346999999999999</c:v>
                </c:pt>
                <c:pt idx="1">
                  <c:v>1.8508</c:v>
                </c:pt>
                <c:pt idx="2">
                  <c:v>2.1374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2B-42F0-8113-8DB281B0BB9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UTS'!$P$46:$R$46</c:f>
              <c:numCache>
                <c:formatCode>0.00</c:formatCode>
                <c:ptCount val="3"/>
                <c:pt idx="0">
                  <c:v>1.5726</c:v>
                </c:pt>
                <c:pt idx="1">
                  <c:v>2.0701999999999998</c:v>
                </c:pt>
                <c:pt idx="2">
                  <c:v>2.3704999999999998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B-42F0-8113-8DB281B0BB99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UTS'!$P$47:$R$47</c:f>
              <c:numCache>
                <c:formatCode>0.00</c:formatCode>
                <c:ptCount val="3"/>
                <c:pt idx="0">
                  <c:v>2.6493000000000002</c:v>
                </c:pt>
                <c:pt idx="1">
                  <c:v>1.8688</c:v>
                </c:pt>
                <c:pt idx="2">
                  <c:v>2.1360999999999999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2B-42F0-8113-8DB281B0BB99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UTS'!$P$48:$R$48</c:f>
              <c:numCache>
                <c:formatCode>0.00</c:formatCode>
                <c:ptCount val="3"/>
                <c:pt idx="1">
                  <c:v>1.7476</c:v>
                </c:pt>
                <c:pt idx="2">
                  <c:v>2.4641999999999999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2B-42F0-8113-8DB281B0BB99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UTS'!$P$49:$R$49</c:f>
              <c:numCache>
                <c:formatCode>0.00</c:formatCode>
                <c:ptCount val="3"/>
                <c:pt idx="1">
                  <c:v>2.1301999999999999</c:v>
                </c:pt>
                <c:pt idx="2">
                  <c:v>2.6031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2B-42F0-8113-8DB281B0BB99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UTS'!$P$50:$R$50</c:f>
              <c:numCache>
                <c:formatCode>0.00</c:formatCode>
                <c:ptCount val="3"/>
                <c:pt idx="1">
                  <c:v>2.0438000000000001</c:v>
                </c:pt>
                <c:pt idx="2">
                  <c:v>2.3403999999999998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2B-42F0-8113-8DB281B0BB99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UTS'!$P$51:$R$51</c:f>
              <c:numCache>
                <c:formatCode>0.00</c:formatCode>
                <c:ptCount val="3"/>
                <c:pt idx="1">
                  <c:v>2.8334000000000001</c:v>
                </c:pt>
                <c:pt idx="2">
                  <c:v>2.8868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2B-42F0-8113-8DB281B0BB9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UTS'!$P$52:$R$52</c:f>
              <c:numCache>
                <c:formatCode>0.00</c:formatCode>
                <c:ptCount val="3"/>
                <c:pt idx="1">
                  <c:v>2.8893</c:v>
                </c:pt>
                <c:pt idx="2">
                  <c:v>3.2658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2B-42F0-8113-8DB281B0BB9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UTS'!$P$53:$R$53</c:f>
              <c:numCache>
                <c:formatCode>0.00</c:formatCode>
                <c:ptCount val="3"/>
                <c:pt idx="1">
                  <c:v>2.6368</c:v>
                </c:pt>
                <c:pt idx="2">
                  <c:v>3.1633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42B-42F0-8113-8DB281B0BB9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UTS'!$P$54:$R$54</c:f>
              <c:numCache>
                <c:formatCode>0.00</c:formatCode>
                <c:ptCount val="3"/>
                <c:pt idx="1">
                  <c:v>2.0192000000000001</c:v>
                </c:pt>
                <c:pt idx="2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2B-42F0-8113-8DB281B0BB9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UTS'!$P$55:$R$55</c:f>
              <c:numCache>
                <c:formatCode>0.00</c:formatCode>
                <c:ptCount val="3"/>
                <c:pt idx="1">
                  <c:v>1.7901</c:v>
                </c:pt>
                <c:pt idx="2">
                  <c:v>2.2187999999999999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42B-42F0-8113-8DB281B0BB9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UTS'!$P$56:$R$56</c:f>
              <c:numCache>
                <c:formatCode>0.00</c:formatCode>
                <c:ptCount val="3"/>
                <c:pt idx="1">
                  <c:v>1.7519</c:v>
                </c:pt>
                <c:pt idx="2">
                  <c:v>2.1164000000000001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2B-42F0-8113-8DB281B0BB9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UTS'!$P$57:$R$57</c:f>
              <c:numCache>
                <c:formatCode>0.00</c:formatCode>
                <c:ptCount val="3"/>
                <c:pt idx="1">
                  <c:v>2.3268</c:v>
                </c:pt>
                <c:pt idx="2">
                  <c:v>2.5102000000000002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42B-42F0-8113-8DB281B0BB9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UTS'!$P$58:$R$58</c:f>
              <c:numCache>
                <c:formatCode>0.00</c:formatCode>
                <c:ptCount val="3"/>
                <c:pt idx="1">
                  <c:v>2.5668000000000002</c:v>
                </c:pt>
                <c:pt idx="2">
                  <c:v>2.9683999999999999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42B-42F0-8113-8DB281B0BB9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UTS'!$P$41:$R$41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UTS'!$P$59:$R$59</c:f>
              <c:numCache>
                <c:formatCode>0.00</c:formatCode>
                <c:ptCount val="3"/>
                <c:pt idx="1">
                  <c:v>2.4034</c:v>
                </c:pt>
                <c:pt idx="2">
                  <c:v>2.6421999999999999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42B-42F0-8113-8DB281B0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Density Comparison - MoE'!$B$22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MoE'!$A$23:$A$25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MoE'!$B$23:$B$25</c:f>
              <c:numCache>
                <c:formatCode>0.00</c:formatCode>
                <c:ptCount val="3"/>
                <c:pt idx="0">
                  <c:v>262.22833333333335</c:v>
                </c:pt>
                <c:pt idx="1">
                  <c:v>264.27111111111117</c:v>
                </c:pt>
                <c:pt idx="2">
                  <c:v>300.77000000000004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D-419B-91E2-C2176BFA1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UTS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MoE'!$P$42:$R$42</c:f>
              <c:numCache>
                <c:formatCode>0.00</c:formatCode>
                <c:ptCount val="3"/>
                <c:pt idx="0">
                  <c:v>268.27</c:v>
                </c:pt>
                <c:pt idx="1">
                  <c:v>205.66</c:v>
                </c:pt>
                <c:pt idx="2">
                  <c:v>201.67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F-42FF-AF4F-99E954A651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MoE'!$P$43:$R$43</c:f>
              <c:numCache>
                <c:formatCode>0.00</c:formatCode>
                <c:ptCount val="3"/>
                <c:pt idx="0">
                  <c:v>388.75</c:v>
                </c:pt>
                <c:pt idx="1">
                  <c:v>227.06</c:v>
                </c:pt>
                <c:pt idx="2">
                  <c:v>250.75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8F-42FF-AF4F-99E954A651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MoE'!$P$44:$R$44</c:f>
              <c:numCache>
                <c:formatCode>0.00</c:formatCode>
                <c:ptCount val="3"/>
                <c:pt idx="0">
                  <c:v>211.47</c:v>
                </c:pt>
                <c:pt idx="1">
                  <c:v>190.34</c:v>
                </c:pt>
                <c:pt idx="2">
                  <c:v>238.64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8F-42FF-AF4F-99E954A651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MoE'!$P$45:$R$45</c:f>
              <c:numCache>
                <c:formatCode>0.00</c:formatCode>
                <c:ptCount val="3"/>
                <c:pt idx="0">
                  <c:v>354.94</c:v>
                </c:pt>
                <c:pt idx="1">
                  <c:v>252.92</c:v>
                </c:pt>
                <c:pt idx="2">
                  <c:v>276.22000000000003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8F-42FF-AF4F-99E954A651A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MoE'!$P$46:$R$46</c:f>
              <c:numCache>
                <c:formatCode>0.00</c:formatCode>
                <c:ptCount val="3"/>
                <c:pt idx="0">
                  <c:v>121.17</c:v>
                </c:pt>
                <c:pt idx="1">
                  <c:v>318.51</c:v>
                </c:pt>
                <c:pt idx="2">
                  <c:v>326.7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8F-42FF-AF4F-99E954A651A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MoE'!$P$47:$R$47</c:f>
              <c:numCache>
                <c:formatCode>0.00</c:formatCode>
                <c:ptCount val="3"/>
                <c:pt idx="0">
                  <c:v>228.77</c:v>
                </c:pt>
                <c:pt idx="1">
                  <c:v>277.42</c:v>
                </c:pt>
                <c:pt idx="2">
                  <c:v>285.92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8F-42FF-AF4F-99E954A651A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MoE'!$P$48:$R$48</c:f>
              <c:numCache>
                <c:formatCode>0.00</c:formatCode>
                <c:ptCount val="3"/>
                <c:pt idx="1">
                  <c:v>254.67</c:v>
                </c:pt>
                <c:pt idx="2">
                  <c:v>369.98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8F-42FF-AF4F-99E954A651A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MoE'!$P$49:$R$49</c:f>
              <c:numCache>
                <c:formatCode>0.00</c:formatCode>
                <c:ptCount val="3"/>
                <c:pt idx="1">
                  <c:v>319.06</c:v>
                </c:pt>
                <c:pt idx="2">
                  <c:v>390.65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8F-42FF-AF4F-99E954A651A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MoE'!$P$50:$R$50</c:f>
              <c:numCache>
                <c:formatCode>0.00</c:formatCode>
                <c:ptCount val="3"/>
                <c:pt idx="1">
                  <c:v>295.55</c:v>
                </c:pt>
                <c:pt idx="2">
                  <c:v>332.1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8F-42FF-AF4F-99E954A651A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MoE'!$P$51:$R$51</c:f>
              <c:numCache>
                <c:formatCode>0.00</c:formatCode>
                <c:ptCount val="3"/>
                <c:pt idx="1">
                  <c:v>403.11</c:v>
                </c:pt>
                <c:pt idx="2">
                  <c:v>414.66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8F-42FF-AF4F-99E954A651A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MoE'!$P$52:$R$52</c:f>
              <c:numCache>
                <c:formatCode>0.00</c:formatCode>
                <c:ptCount val="3"/>
                <c:pt idx="1">
                  <c:v>423.57</c:v>
                </c:pt>
                <c:pt idx="2">
                  <c:v>483.77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8F-42FF-AF4F-99E954A651A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MoE'!$P$53:$R$53</c:f>
              <c:numCache>
                <c:formatCode>0.00</c:formatCode>
                <c:ptCount val="3"/>
                <c:pt idx="1">
                  <c:v>401.55</c:v>
                </c:pt>
                <c:pt idx="2">
                  <c:v>490.71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8F-42FF-AF4F-99E954A651A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MoE'!$P$54:$R$54</c:f>
              <c:numCache>
                <c:formatCode>0.00</c:formatCode>
                <c:ptCount val="3"/>
                <c:pt idx="1">
                  <c:v>176.33</c:v>
                </c:pt>
                <c:pt idx="2">
                  <c:v>198.2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8F-42FF-AF4F-99E954A651A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MoE'!$P$55:$R$55</c:f>
              <c:numCache>
                <c:formatCode>0.00</c:formatCode>
                <c:ptCount val="3"/>
                <c:pt idx="1">
                  <c:v>162.5</c:v>
                </c:pt>
                <c:pt idx="2">
                  <c:v>196.94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18F-42FF-AF4F-99E954A651A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MoE'!$P$56:$R$56</c:f>
              <c:numCache>
                <c:formatCode>0.00</c:formatCode>
                <c:ptCount val="3"/>
                <c:pt idx="1">
                  <c:v>158.37</c:v>
                </c:pt>
                <c:pt idx="2">
                  <c:v>183.51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8F-42FF-AF4F-99E954A651A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MoE'!$P$57:$R$57</c:f>
              <c:numCache>
                <c:formatCode>0.00</c:formatCode>
                <c:ptCount val="3"/>
                <c:pt idx="1">
                  <c:v>216.39</c:v>
                </c:pt>
                <c:pt idx="2">
                  <c:v>222.88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18F-42FF-AF4F-99E954A651A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MoE'!$P$58:$R$58</c:f>
              <c:numCache>
                <c:formatCode>0.00</c:formatCode>
                <c:ptCount val="3"/>
                <c:pt idx="1">
                  <c:v>234.1</c:v>
                </c:pt>
                <c:pt idx="2">
                  <c:v>297.60000000000002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18F-42FF-AF4F-99E954A651A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MoE'!$P$41:$R$41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MoE'!$P$59:$R$59</c:f>
              <c:numCache>
                <c:formatCode>0.00</c:formatCode>
                <c:ptCount val="3"/>
                <c:pt idx="1">
                  <c:v>239.77</c:v>
                </c:pt>
                <c:pt idx="2">
                  <c:v>252.96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18F-42FF-AF4F-99E954A65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Yield Strength (kN)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Density Comparison - MoR'!$B$22</c:f>
              <c:strCache>
                <c:ptCount val="1"/>
                <c:pt idx="0">
                  <c:v>AverageYield Strength (kN)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MoR'!$A$23:$A$25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MoR'!$B$23:$B$25</c:f>
              <c:numCache>
                <c:formatCode>0.00</c:formatCode>
                <c:ptCount val="3"/>
                <c:pt idx="0">
                  <c:v>3.6316666666666671E-2</c:v>
                </c:pt>
                <c:pt idx="1">
                  <c:v>6.4461111111111136E-2</c:v>
                </c:pt>
                <c:pt idx="2">
                  <c:v>0.10751666666666665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4-4DC0-96CA-07B6FFE6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Infill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3-4457-8A79-D40CF4F8D3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MoR'!$P$42:$R$42</c:f>
              <c:numCache>
                <c:formatCode>0.00</c:formatCode>
                <c:ptCount val="3"/>
                <c:pt idx="0">
                  <c:v>2.93E-2</c:v>
                </c:pt>
                <c:pt idx="1">
                  <c:v>2.07E-2</c:v>
                </c:pt>
                <c:pt idx="2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3-4457-8A79-D40CF4F8D3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MoR'!$P$43:$R$43</c:f>
              <c:numCache>
                <c:formatCode>0.00</c:formatCode>
                <c:ptCount val="3"/>
                <c:pt idx="0">
                  <c:v>3.2300000000000002E-2</c:v>
                </c:pt>
                <c:pt idx="1">
                  <c:v>1.61E-2</c:v>
                </c:pt>
                <c:pt idx="2">
                  <c:v>8.9300000000000004E-2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3-4457-8A79-D40CF4F8D3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MoR'!$P$44:$R$44</c:f>
              <c:numCache>
                <c:formatCode>0.00</c:formatCode>
                <c:ptCount val="3"/>
                <c:pt idx="0">
                  <c:v>3.27E-2</c:v>
                </c:pt>
                <c:pt idx="1">
                  <c:v>5.8700000000000002E-2</c:v>
                </c:pt>
                <c:pt idx="2">
                  <c:v>2.5600000000000001E-2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B3-4457-8A79-D40CF4F8D3A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MoR'!$P$45:$R$45</c:f>
              <c:numCache>
                <c:formatCode>0.00</c:formatCode>
                <c:ptCount val="3"/>
                <c:pt idx="0">
                  <c:v>2.35E-2</c:v>
                </c:pt>
                <c:pt idx="1">
                  <c:v>7.9100000000000004E-2</c:v>
                </c:pt>
                <c:pt idx="2">
                  <c:v>0.13070000000000001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B3-4457-8A79-D40CF4F8D3A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MoR'!$P$46:$R$46</c:f>
              <c:numCache>
                <c:formatCode>0.00</c:formatCode>
                <c:ptCount val="3"/>
                <c:pt idx="0">
                  <c:v>7.4200000000000002E-2</c:v>
                </c:pt>
                <c:pt idx="1">
                  <c:v>2.0199999999999999E-2</c:v>
                </c:pt>
                <c:pt idx="2">
                  <c:v>0.1067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B3-4457-8A79-D40CF4F8D3A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MoR'!$P$47:$R$47</c:f>
              <c:numCache>
                <c:formatCode>0.00</c:formatCode>
                <c:ptCount val="3"/>
                <c:pt idx="0">
                  <c:v>2.5899999999999999E-2</c:v>
                </c:pt>
                <c:pt idx="1">
                  <c:v>3.9199999999999999E-2</c:v>
                </c:pt>
                <c:pt idx="2">
                  <c:v>9.69E-2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B3-4457-8A79-D40CF4F8D3A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MoR'!$P$48:$R$48</c:f>
              <c:numCache>
                <c:formatCode>0.00</c:formatCode>
                <c:ptCount val="3"/>
                <c:pt idx="1">
                  <c:v>7.9799999999999996E-2</c:v>
                </c:pt>
                <c:pt idx="2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B3-4457-8A79-D40CF4F8D3A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MoR'!$P$49:$R$49</c:f>
              <c:numCache>
                <c:formatCode>0.00</c:formatCode>
                <c:ptCount val="3"/>
                <c:pt idx="1">
                  <c:v>6.7299999999999999E-2</c:v>
                </c:pt>
                <c:pt idx="2">
                  <c:v>0.12230000000000001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B3-4457-8A79-D40CF4F8D3A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MoR'!$P$50:$R$50</c:f>
              <c:numCache>
                <c:formatCode>0.00</c:formatCode>
                <c:ptCount val="3"/>
                <c:pt idx="1">
                  <c:v>8.14E-2</c:v>
                </c:pt>
                <c:pt idx="2">
                  <c:v>0.1101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B3-4457-8A79-D40CF4F8D3A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MoR'!$P$51:$R$51</c:f>
              <c:numCache>
                <c:formatCode>0.00</c:formatCode>
                <c:ptCount val="3"/>
                <c:pt idx="1">
                  <c:v>0.1157</c:v>
                </c:pt>
                <c:pt idx="2">
                  <c:v>0.1236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B3-4457-8A79-D40CF4F8D3A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MoR'!$P$52:$R$52</c:f>
              <c:numCache>
                <c:formatCode>0.00</c:formatCode>
                <c:ptCount val="3"/>
                <c:pt idx="1">
                  <c:v>7.0400000000000004E-2</c:v>
                </c:pt>
                <c:pt idx="2">
                  <c:v>0.13370000000000001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B3-4457-8A79-D40CF4F8D3A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MoR'!$P$53:$R$53</c:f>
              <c:numCache>
                <c:formatCode>0.00</c:formatCode>
                <c:ptCount val="3"/>
                <c:pt idx="1">
                  <c:v>9.0700000000000003E-2</c:v>
                </c:pt>
                <c:pt idx="2">
                  <c:v>6.6299999999999998E-2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B3-4457-8A79-D40CF4F8D3A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MoR'!$P$54:$R$54</c:f>
              <c:numCache>
                <c:formatCode>0.00</c:formatCode>
                <c:ptCount val="3"/>
                <c:pt idx="1">
                  <c:v>9.9400000000000002E-2</c:v>
                </c:pt>
                <c:pt idx="2">
                  <c:v>0.2044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B3-4457-8A79-D40CF4F8D3A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MoR'!$P$55:$R$55</c:f>
              <c:numCache>
                <c:formatCode>0.00</c:formatCode>
                <c:ptCount val="3"/>
                <c:pt idx="1">
                  <c:v>7.5200000000000003E-2</c:v>
                </c:pt>
                <c:pt idx="2">
                  <c:v>0.11849999999999999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B3-4457-8A79-D40CF4F8D3A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MoR'!$P$56:$R$56</c:f>
              <c:numCache>
                <c:formatCode>0.00</c:formatCode>
                <c:ptCount val="3"/>
                <c:pt idx="1">
                  <c:v>4.0099999999999997E-2</c:v>
                </c:pt>
                <c:pt idx="2">
                  <c:v>0.12039999999999999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B3-4457-8A79-D40CF4F8D3A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MoR'!$P$57:$R$57</c:f>
              <c:numCache>
                <c:formatCode>0.00</c:formatCode>
                <c:ptCount val="3"/>
                <c:pt idx="1">
                  <c:v>8.8499999999999995E-2</c:v>
                </c:pt>
                <c:pt idx="2">
                  <c:v>0.16589999999999999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B3-4457-8A79-D40CF4F8D3A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MoR'!$P$58:$R$58</c:f>
              <c:numCache>
                <c:formatCode>0.00</c:formatCode>
                <c:ptCount val="3"/>
                <c:pt idx="1">
                  <c:v>7.2300000000000003E-2</c:v>
                </c:pt>
                <c:pt idx="2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4B3-4457-8A79-D40CF4F8D3A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MoR'!$P$41:$R$41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MoR'!$P$59:$R$59</c:f>
              <c:numCache>
                <c:formatCode>0.00</c:formatCode>
                <c:ptCount val="3"/>
                <c:pt idx="1">
                  <c:v>4.5499999999999999E-2</c:v>
                </c:pt>
                <c:pt idx="2">
                  <c:v>7.9399999999999998E-2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4B3-4457-8A79-D40CF4F8D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Infill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tickLblSkip val="1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Yield Strength (kN)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'Infill Density Comparison - YS'!$B$22</c:f>
              <c:strCache>
                <c:ptCount val="1"/>
                <c:pt idx="0">
                  <c:v>AverageYield Strength (kN)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YS'!$A$23:$A$25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YS'!$B$23:$B$25</c:f>
              <c:numCache>
                <c:formatCode>0.00</c:formatCode>
                <c:ptCount val="3"/>
                <c:pt idx="0">
                  <c:v>0.70595000000000008</c:v>
                </c:pt>
                <c:pt idx="1">
                  <c:v>0.99449444444444446</c:v>
                </c:pt>
                <c:pt idx="2">
                  <c:v>1.3724611111111114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F33-8CE0-479D92E31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Infill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Infill</a:t>
            </a:r>
            <a:r>
              <a:rPr lang="en-US" baseline="0">
                <a:solidFill>
                  <a:sysClr val="windowText" lastClr="000000"/>
                </a:solidFill>
              </a:rPr>
              <a:t> Comparison -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5-43BF-B300-7200BAA790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YS'!$P$42:$R$42</c:f>
              <c:numCache>
                <c:formatCode>0.00</c:formatCode>
                <c:ptCount val="3"/>
                <c:pt idx="0">
                  <c:v>0.68210000000000004</c:v>
                </c:pt>
                <c:pt idx="1">
                  <c:v>0.50519999999999998</c:v>
                </c:pt>
                <c:pt idx="2">
                  <c:v>0.88429999999999997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5-43BF-B300-7200BAA7900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YS'!$P$43:$R$43</c:f>
              <c:numCache>
                <c:formatCode>0.00</c:formatCode>
                <c:ptCount val="3"/>
                <c:pt idx="0">
                  <c:v>0.85670000000000002</c:v>
                </c:pt>
                <c:pt idx="1">
                  <c:v>0.4627</c:v>
                </c:pt>
                <c:pt idx="2">
                  <c:v>1.1915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F5-43BF-B300-7200BAA7900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YS'!$P$44:$R$44</c:f>
              <c:numCache>
                <c:formatCode>0.00</c:formatCode>
                <c:ptCount val="3"/>
                <c:pt idx="0">
                  <c:v>0.64910000000000001</c:v>
                </c:pt>
                <c:pt idx="1">
                  <c:v>0.8357</c:v>
                </c:pt>
                <c:pt idx="2">
                  <c:v>0.60750000000000004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5-43BF-B300-7200BAA7900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YS'!$P$45:$R$45</c:f>
              <c:numCache>
                <c:formatCode>0.00</c:formatCode>
                <c:ptCount val="3"/>
                <c:pt idx="0">
                  <c:v>0.69299999999999995</c:v>
                </c:pt>
                <c:pt idx="1">
                  <c:v>1.1189</c:v>
                </c:pt>
                <c:pt idx="2">
                  <c:v>1.518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F5-43BF-B300-7200BAA7900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YS'!$P$46:$R$46</c:f>
              <c:numCache>
                <c:formatCode>0.00</c:formatCode>
                <c:ptCount val="3"/>
                <c:pt idx="0">
                  <c:v>0.75680000000000003</c:v>
                </c:pt>
                <c:pt idx="1">
                  <c:v>0.60750000000000004</c:v>
                </c:pt>
                <c:pt idx="2">
                  <c:v>1.4839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F5-43BF-B300-7200BAA7900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YS'!$P$47:$R$47</c:f>
              <c:numCache>
                <c:formatCode>0.00</c:formatCode>
                <c:ptCount val="3"/>
                <c:pt idx="0">
                  <c:v>0.59799999999999998</c:v>
                </c:pt>
                <c:pt idx="1">
                  <c:v>0.81379999999999997</c:v>
                </c:pt>
                <c:pt idx="2">
                  <c:v>1.3223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F5-43BF-B300-7200BAA7900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YS'!$P$48:$R$48</c:f>
              <c:numCache>
                <c:formatCode>0.00</c:formatCode>
                <c:ptCount val="3"/>
                <c:pt idx="1">
                  <c:v>1.1251</c:v>
                </c:pt>
                <c:pt idx="2">
                  <c:v>1.7471000000000001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F5-43BF-B300-7200BAA7900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YS'!$P$49:$R$49</c:f>
              <c:numCache>
                <c:formatCode>0.00</c:formatCode>
                <c:ptCount val="3"/>
                <c:pt idx="1">
                  <c:v>1.1477999999999999</c:v>
                </c:pt>
                <c:pt idx="2">
                  <c:v>1.7310000000000001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F5-43BF-B300-7200BAA7900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YS'!$P$50:$R$50</c:f>
              <c:numCache>
                <c:formatCode>0.00</c:formatCode>
                <c:ptCount val="3"/>
                <c:pt idx="1">
                  <c:v>1.2306999999999999</c:v>
                </c:pt>
                <c:pt idx="2">
                  <c:v>1.5125999999999999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F5-43BF-B300-7200BAA7900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YS'!$P$51:$R$51</c:f>
              <c:numCache>
                <c:formatCode>0.00</c:formatCode>
                <c:ptCount val="3"/>
                <c:pt idx="1">
                  <c:v>1.7043999999999999</c:v>
                </c:pt>
                <c:pt idx="2">
                  <c:v>1.7942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F5-43BF-B300-7200BAA7900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YS'!$P$52:$R$52</c:f>
              <c:numCache>
                <c:formatCode>0.00</c:formatCode>
                <c:ptCount val="3"/>
                <c:pt idx="1">
                  <c:v>1.35</c:v>
                </c:pt>
                <c:pt idx="2">
                  <c:v>2.0055999999999998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F5-43BF-B300-7200BAA7900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YS'!$P$53:$R$53</c:f>
              <c:numCache>
                <c:formatCode>0.00</c:formatCode>
                <c:ptCount val="3"/>
                <c:pt idx="1">
                  <c:v>1.4959</c:v>
                </c:pt>
                <c:pt idx="2">
                  <c:v>1.401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F5-43BF-B300-7200BAA79005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YS'!$P$54:$R$54</c:f>
              <c:numCache>
                <c:formatCode>0.00</c:formatCode>
                <c:ptCount val="3"/>
                <c:pt idx="1">
                  <c:v>1.0670999999999999</c:v>
                </c:pt>
                <c:pt idx="2">
                  <c:v>1.5927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F5-43BF-B300-7200BAA79005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YS'!$P$55:$R$55</c:f>
              <c:numCache>
                <c:formatCode>0.00</c:formatCode>
                <c:ptCount val="3"/>
                <c:pt idx="1">
                  <c:v>0.85489999999999999</c:v>
                </c:pt>
                <c:pt idx="2">
                  <c:v>1.2203999999999999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F5-43BF-B300-7200BAA79005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YS'!$P$56:$R$56</c:f>
              <c:numCache>
                <c:formatCode>0.00</c:formatCode>
                <c:ptCount val="3"/>
                <c:pt idx="1">
                  <c:v>0.63260000000000005</c:v>
                </c:pt>
                <c:pt idx="2">
                  <c:v>1.1698999999999999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F5-43BF-B300-7200BAA79005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YS'!$P$57:$R$57</c:f>
              <c:numCache>
                <c:formatCode>0.00</c:formatCode>
                <c:ptCount val="3"/>
                <c:pt idx="1">
                  <c:v>1.1033999999999999</c:v>
                </c:pt>
                <c:pt idx="2">
                  <c:v>1.4641999999999999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F5-43BF-B300-7200BAA79005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YS'!$P$58:$R$58</c:f>
              <c:numCache>
                <c:formatCode>0.00</c:formatCode>
                <c:ptCount val="3"/>
                <c:pt idx="1">
                  <c:v>1.0248999999999999</c:v>
                </c:pt>
                <c:pt idx="2">
                  <c:v>0.92620000000000002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F5-43BF-B300-7200BAA79005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'Infill Density Comparison - YS'!$P$41:$R$41</c:f>
              <c:numCache>
                <c:formatCode>0%</c:formatCod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numCache>
            </c:numRef>
          </c:cat>
          <c:val>
            <c:numRef>
              <c:f>'Infill Density Comparison - YS'!$P$59:$R$59</c:f>
              <c:numCache>
                <c:formatCode>0.00</c:formatCode>
                <c:ptCount val="3"/>
                <c:pt idx="1">
                  <c:v>0.82030000000000003</c:v>
                </c:pt>
                <c:pt idx="2">
                  <c:v>1.1318999999999999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F5-43BF-B300-7200BAA79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Infill 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tickLblSkip val="1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'Material Comparison - UTS'!$B$19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UTS'!$A$20:$A$22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UTS'!$B$20:$B$22</c:f>
              <c:numCache>
                <c:formatCode>0.00</c:formatCode>
                <c:ptCount val="3"/>
                <c:pt idx="0">
                  <c:v>2.1747200000000002</c:v>
                </c:pt>
                <c:pt idx="1">
                  <c:v>2.9602599999999994</c:v>
                </c:pt>
                <c:pt idx="2">
                  <c:v>2.7670266666666663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E-48BA-AB61-C94596D6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Material Comparison - UTS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UTS'!$M$4:$O$4</c:f>
              <c:numCache>
                <c:formatCode>0.00</c:formatCode>
                <c:ptCount val="3"/>
                <c:pt idx="0">
                  <c:v>6.6299000000000001</c:v>
                </c:pt>
                <c:pt idx="1">
                  <c:v>9.3462999999999994</c:v>
                </c:pt>
                <c:pt idx="2">
                  <c:v>9.6692999999999998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4-46B5-B290-FB4FF2E2858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UTS'!$M$5:$O$5</c:f>
              <c:numCache>
                <c:formatCode>0.00</c:formatCode>
                <c:ptCount val="3"/>
                <c:pt idx="0">
                  <c:v>1.6811</c:v>
                </c:pt>
                <c:pt idx="1">
                  <c:v>1.6182000000000001</c:v>
                </c:pt>
                <c:pt idx="2">
                  <c:v>1.5726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4-46B5-B290-FB4FF2E2858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UTS'!$M$6:$O$6</c:f>
              <c:numCache>
                <c:formatCode>0.00</c:formatCode>
                <c:ptCount val="3"/>
                <c:pt idx="0">
                  <c:v>2.8111999999999999</c:v>
                </c:pt>
                <c:pt idx="1">
                  <c:v>2.4346999999999999</c:v>
                </c:pt>
                <c:pt idx="2">
                  <c:v>2.6493000000000002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4-46B5-B290-FB4FF2E2858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UTS'!$M$7:$O$7</c:f>
              <c:numCache>
                <c:formatCode>0.00</c:formatCode>
                <c:ptCount val="3"/>
                <c:pt idx="0">
                  <c:v>1.335</c:v>
                </c:pt>
                <c:pt idx="1">
                  <c:v>1.7476</c:v>
                </c:pt>
                <c:pt idx="2">
                  <c:v>2.0192000000000001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4-46B5-B290-FB4FF2E2858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UTS'!$M$8:$O$8</c:f>
              <c:numCache>
                <c:formatCode>0.00</c:formatCode>
                <c:ptCount val="3"/>
                <c:pt idx="0">
                  <c:v>1.4450000000000001</c:v>
                </c:pt>
                <c:pt idx="1">
                  <c:v>2.4641999999999999</c:v>
                </c:pt>
                <c:pt idx="2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B4-46B5-B290-FB4FF2E2858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UTS'!$M$9:$O$9</c:f>
              <c:numCache>
                <c:formatCode>0.00</c:formatCode>
                <c:ptCount val="3"/>
                <c:pt idx="0">
                  <c:v>1.4693000000000001</c:v>
                </c:pt>
                <c:pt idx="1">
                  <c:v>2.1301999999999999</c:v>
                </c:pt>
                <c:pt idx="2">
                  <c:v>1.7901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B4-46B5-B290-FB4FF2E2858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UTS'!$M$10:$O$10</c:f>
              <c:numCache>
                <c:formatCode>0.00</c:formatCode>
                <c:ptCount val="3"/>
                <c:pt idx="0">
                  <c:v>1.8183</c:v>
                </c:pt>
                <c:pt idx="1">
                  <c:v>2.6031</c:v>
                </c:pt>
                <c:pt idx="2">
                  <c:v>2.2187999999999999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B4-46B5-B290-FB4FF2E2858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UTS'!$M$11:$O$11</c:f>
              <c:numCache>
                <c:formatCode>0.00</c:formatCode>
                <c:ptCount val="3"/>
                <c:pt idx="0">
                  <c:v>1.4342999999999999</c:v>
                </c:pt>
                <c:pt idx="1">
                  <c:v>2.0438000000000001</c:v>
                </c:pt>
                <c:pt idx="2">
                  <c:v>1.7519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B4-46B5-B290-FB4FF2E2858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UTS'!$M$12:$O$12</c:f>
              <c:numCache>
                <c:formatCode>0.00</c:formatCode>
                <c:ptCount val="3"/>
                <c:pt idx="0">
                  <c:v>1.5629</c:v>
                </c:pt>
                <c:pt idx="1">
                  <c:v>2.3403999999999998</c:v>
                </c:pt>
                <c:pt idx="2">
                  <c:v>2.1164000000000001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B4-46B5-B290-FB4FF2E2858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UTS'!$M$13:$O$13</c:f>
              <c:numCache>
                <c:formatCode>0.00</c:formatCode>
                <c:ptCount val="3"/>
                <c:pt idx="0">
                  <c:v>1.8508</c:v>
                </c:pt>
                <c:pt idx="1">
                  <c:v>2.8334000000000001</c:v>
                </c:pt>
                <c:pt idx="2">
                  <c:v>2.3268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B4-46B5-B290-FB4FF2E2858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UTS'!$M$14:$O$14</c:f>
              <c:numCache>
                <c:formatCode>0.00</c:formatCode>
                <c:ptCount val="3"/>
                <c:pt idx="0">
                  <c:v>2.1374</c:v>
                </c:pt>
                <c:pt idx="1">
                  <c:v>2.8868</c:v>
                </c:pt>
                <c:pt idx="2">
                  <c:v>2.5102000000000002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B4-46B5-B290-FB4FF2E2858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UTS'!$M$15:$O$15</c:f>
              <c:numCache>
                <c:formatCode>0.00</c:formatCode>
                <c:ptCount val="3"/>
                <c:pt idx="0">
                  <c:v>2.0701999999999998</c:v>
                </c:pt>
                <c:pt idx="1">
                  <c:v>2.8893</c:v>
                </c:pt>
                <c:pt idx="2">
                  <c:v>2.5668000000000002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EB4-46B5-B290-FB4FF2E2858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UTS'!$M$16:$O$16</c:f>
              <c:numCache>
                <c:formatCode>0.00</c:formatCode>
                <c:ptCount val="3"/>
                <c:pt idx="0">
                  <c:v>2.3704999999999998</c:v>
                </c:pt>
                <c:pt idx="1">
                  <c:v>3.2658</c:v>
                </c:pt>
                <c:pt idx="2">
                  <c:v>2.9683999999999999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F-48F5-9DD8-67DBD802A15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UTS'!$M$17:$O$17</c:f>
              <c:numCache>
                <c:formatCode>0.00</c:formatCode>
                <c:ptCount val="3"/>
                <c:pt idx="0">
                  <c:v>1.8688</c:v>
                </c:pt>
                <c:pt idx="1">
                  <c:v>2.6368</c:v>
                </c:pt>
                <c:pt idx="2">
                  <c:v>2.4034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F-48F5-9DD8-67DBD802A15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UTS'!$M$3:$O$3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UTS'!$M$18:$O$18</c:f>
              <c:numCache>
                <c:formatCode>0.00</c:formatCode>
                <c:ptCount val="3"/>
                <c:pt idx="0">
                  <c:v>2.1360999999999999</c:v>
                </c:pt>
                <c:pt idx="1">
                  <c:v>3.1633</c:v>
                </c:pt>
                <c:pt idx="2">
                  <c:v>2.6421999999999999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AF-48F5-9DD8-67DBD802A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Modulus of Elasticity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'Material Comparison - MoE'!$B$19</c:f>
              <c:strCache>
                <c:ptCount val="1"/>
                <c:pt idx="0">
                  <c:v>Average Modulus of Elasticity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MoE'!$A$20:$A$22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MoE'!$B$20:$B$22</c:f>
              <c:numCache>
                <c:formatCode>0.00</c:formatCode>
                <c:ptCount val="3"/>
                <c:pt idx="0">
                  <c:v>302.15400000000005</c:v>
                </c:pt>
                <c:pt idx="1">
                  <c:v>428.44466666666665</c:v>
                </c:pt>
                <c:pt idx="2">
                  <c:v>240.17066666666662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7-4D50-BB24-4F4847C0F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Material Comparison - Modulus of Elasticity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MoE'!$M$4:$O$4</c:f>
              <c:numCache>
                <c:formatCode>0.00</c:formatCode>
                <c:ptCount val="3"/>
                <c:pt idx="0">
                  <c:v>823.48</c:v>
                </c:pt>
                <c:pt idx="1">
                  <c:v>1280.8800000000001</c:v>
                </c:pt>
                <c:pt idx="2">
                  <c:v>713.07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1-406A-9DCE-E477CE2222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MoE'!$M$5:$O$5</c:f>
              <c:numCache>
                <c:formatCode>0.00</c:formatCode>
                <c:ptCount val="3"/>
                <c:pt idx="0">
                  <c:v>268.27</c:v>
                </c:pt>
                <c:pt idx="1">
                  <c:v>211.47</c:v>
                </c:pt>
                <c:pt idx="2">
                  <c:v>121.17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1-406A-9DCE-E477CE22223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MoE'!$M$6:$O$6</c:f>
              <c:numCache>
                <c:formatCode>0.00</c:formatCode>
                <c:ptCount val="3"/>
                <c:pt idx="0">
                  <c:v>388.75</c:v>
                </c:pt>
                <c:pt idx="1">
                  <c:v>354.94</c:v>
                </c:pt>
                <c:pt idx="2">
                  <c:v>228.77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A1-406A-9DCE-E477CE22223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MoE'!$M$7:$O$7</c:f>
              <c:numCache>
                <c:formatCode>0.00</c:formatCode>
                <c:ptCount val="3"/>
                <c:pt idx="0">
                  <c:v>205.66</c:v>
                </c:pt>
                <c:pt idx="1">
                  <c:v>254.67</c:v>
                </c:pt>
                <c:pt idx="2">
                  <c:v>176.33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A1-406A-9DCE-E477CE22223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MoE'!$M$8:$O$8</c:f>
              <c:numCache>
                <c:formatCode>0.00</c:formatCode>
                <c:ptCount val="3"/>
                <c:pt idx="0">
                  <c:v>201.67</c:v>
                </c:pt>
                <c:pt idx="1">
                  <c:v>369.98</c:v>
                </c:pt>
                <c:pt idx="2">
                  <c:v>198.2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A1-406A-9DCE-E477CE22223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MoE'!$M$9:$O$9</c:f>
              <c:numCache>
                <c:formatCode>0.00</c:formatCode>
                <c:ptCount val="3"/>
                <c:pt idx="0">
                  <c:v>227.06</c:v>
                </c:pt>
                <c:pt idx="1">
                  <c:v>319.06</c:v>
                </c:pt>
                <c:pt idx="2">
                  <c:v>162.5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A1-406A-9DCE-E477CE22223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MoE'!$M$10:$O$10</c:f>
              <c:numCache>
                <c:formatCode>0.00</c:formatCode>
                <c:ptCount val="3"/>
                <c:pt idx="0">
                  <c:v>250.75</c:v>
                </c:pt>
                <c:pt idx="1">
                  <c:v>390.65</c:v>
                </c:pt>
                <c:pt idx="2">
                  <c:v>196.94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A1-406A-9DCE-E477CE22223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MoE'!$M$11:$O$11</c:f>
              <c:numCache>
                <c:formatCode>0.00</c:formatCode>
                <c:ptCount val="3"/>
                <c:pt idx="0">
                  <c:v>190.34</c:v>
                </c:pt>
                <c:pt idx="1">
                  <c:v>295.55</c:v>
                </c:pt>
                <c:pt idx="2">
                  <c:v>158.37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A1-406A-9DCE-E477CE22223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MoE'!$M$12:$O$12</c:f>
              <c:numCache>
                <c:formatCode>0.00</c:formatCode>
                <c:ptCount val="3"/>
                <c:pt idx="0">
                  <c:v>238.64</c:v>
                </c:pt>
                <c:pt idx="1">
                  <c:v>332.1</c:v>
                </c:pt>
                <c:pt idx="2">
                  <c:v>183.51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A1-406A-9DCE-E477CE22223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MoE'!$M$13:$O$13</c:f>
              <c:numCache>
                <c:formatCode>0.00</c:formatCode>
                <c:ptCount val="3"/>
                <c:pt idx="0">
                  <c:v>252.92</c:v>
                </c:pt>
                <c:pt idx="1">
                  <c:v>403.11</c:v>
                </c:pt>
                <c:pt idx="2">
                  <c:v>216.39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A1-406A-9DCE-E477CE22223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MoE'!$M$14:$O$14</c:f>
              <c:numCache>
                <c:formatCode>0.00</c:formatCode>
                <c:ptCount val="3"/>
                <c:pt idx="0">
                  <c:v>276.22000000000003</c:v>
                </c:pt>
                <c:pt idx="1">
                  <c:v>414.66</c:v>
                </c:pt>
                <c:pt idx="2">
                  <c:v>222.88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A1-406A-9DCE-E477CE22223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MoE'!$M$15:$O$15</c:f>
              <c:numCache>
                <c:formatCode>0.00</c:formatCode>
                <c:ptCount val="3"/>
                <c:pt idx="0">
                  <c:v>318.51</c:v>
                </c:pt>
                <c:pt idx="1">
                  <c:v>423.57</c:v>
                </c:pt>
                <c:pt idx="2">
                  <c:v>234.1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A1-406A-9DCE-E477CE22223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MoE'!$M$16:$O$16</c:f>
              <c:numCache>
                <c:formatCode>0.00</c:formatCode>
                <c:ptCount val="3"/>
                <c:pt idx="0">
                  <c:v>326.7</c:v>
                </c:pt>
                <c:pt idx="1">
                  <c:v>483.77</c:v>
                </c:pt>
                <c:pt idx="2">
                  <c:v>297.60000000000002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A1-406A-9DCE-E477CE22223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MoE'!$M$17:$O$17</c:f>
              <c:numCache>
                <c:formatCode>0.00</c:formatCode>
                <c:ptCount val="3"/>
                <c:pt idx="0">
                  <c:v>277.42</c:v>
                </c:pt>
                <c:pt idx="1">
                  <c:v>401.55</c:v>
                </c:pt>
                <c:pt idx="2">
                  <c:v>239.77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AA1-406A-9DCE-E477CE22223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MoE'!$M$3:$O$3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MoE'!$M$18:$O$18</c:f>
              <c:numCache>
                <c:formatCode>0.00</c:formatCode>
                <c:ptCount val="3"/>
                <c:pt idx="0">
                  <c:v>285.92</c:v>
                </c:pt>
                <c:pt idx="1">
                  <c:v>490.71</c:v>
                </c:pt>
                <c:pt idx="2">
                  <c:v>252.96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AA1-406A-9DCE-E477CE22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Modulus of Resilience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'Material Comparison - MoR'!$B$19</c:f>
              <c:strCache>
                <c:ptCount val="1"/>
                <c:pt idx="0">
                  <c:v>Average Modulus of Resilience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MoR'!$A$20:$A$22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MoR'!$B$20:$B$22</c:f>
              <c:numCache>
                <c:formatCode>0.00</c:formatCode>
                <c:ptCount val="3"/>
                <c:pt idx="0">
                  <c:v>6.938666666666668E-2</c:v>
                </c:pt>
                <c:pt idx="1">
                  <c:v>9.0539999999999995E-2</c:v>
                </c:pt>
                <c:pt idx="2">
                  <c:v>0.10267333333333335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7-4FB2-88F4-1DFF9A185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Material Comparison - Modulus of Resilience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MoR'!$M$4:$O$4</c:f>
              <c:numCache>
                <c:formatCode>0.00</c:formatCode>
                <c:ptCount val="3"/>
                <c:pt idx="0">
                  <c:v>0.23499999999999999</c:v>
                </c:pt>
                <c:pt idx="1">
                  <c:v>0.1056</c:v>
                </c:pt>
                <c:pt idx="2">
                  <c:v>0.28489999999999999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5-44E3-BB0B-B6DE9E9F32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MoR'!$M$5:$O$5</c:f>
              <c:numCache>
                <c:formatCode>0.00</c:formatCode>
                <c:ptCount val="3"/>
                <c:pt idx="0">
                  <c:v>2.93E-2</c:v>
                </c:pt>
                <c:pt idx="1">
                  <c:v>3.27E-2</c:v>
                </c:pt>
                <c:pt idx="2">
                  <c:v>7.4200000000000002E-2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5-44E3-BB0B-B6DE9E9F32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MoR'!$M$6:$O$6</c:f>
              <c:numCache>
                <c:formatCode>0.00</c:formatCode>
                <c:ptCount val="3"/>
                <c:pt idx="0">
                  <c:v>3.2300000000000002E-2</c:v>
                </c:pt>
                <c:pt idx="1">
                  <c:v>2.35E-2</c:v>
                </c:pt>
                <c:pt idx="2">
                  <c:v>2.5899999999999999E-2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65-44E3-BB0B-B6DE9E9F32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MoR'!$M$7:$O$7</c:f>
              <c:numCache>
                <c:formatCode>0.00</c:formatCode>
                <c:ptCount val="3"/>
                <c:pt idx="0">
                  <c:v>2.07E-2</c:v>
                </c:pt>
                <c:pt idx="1">
                  <c:v>7.9799999999999996E-2</c:v>
                </c:pt>
                <c:pt idx="2">
                  <c:v>9.9400000000000002E-2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65-44E3-BB0B-B6DE9E9F32A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MoR'!$M$8:$O$8</c:f>
              <c:numCache>
                <c:formatCode>0.00</c:formatCode>
                <c:ptCount val="3"/>
                <c:pt idx="0">
                  <c:v>6.0999999999999999E-2</c:v>
                </c:pt>
                <c:pt idx="1">
                  <c:v>0.13500000000000001</c:v>
                </c:pt>
                <c:pt idx="2">
                  <c:v>0.2044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65-44E3-BB0B-B6DE9E9F32A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MoR'!$M$9:$O$9</c:f>
              <c:numCache>
                <c:formatCode>0.00</c:formatCode>
                <c:ptCount val="3"/>
                <c:pt idx="0">
                  <c:v>1.61E-2</c:v>
                </c:pt>
                <c:pt idx="1">
                  <c:v>6.7299999999999999E-2</c:v>
                </c:pt>
                <c:pt idx="2">
                  <c:v>7.5200000000000003E-2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65-44E3-BB0B-B6DE9E9F32A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MoR'!$M$10:$O$10</c:f>
              <c:numCache>
                <c:formatCode>0.00</c:formatCode>
                <c:ptCount val="3"/>
                <c:pt idx="0">
                  <c:v>8.9300000000000004E-2</c:v>
                </c:pt>
                <c:pt idx="1">
                  <c:v>0.12230000000000001</c:v>
                </c:pt>
                <c:pt idx="2">
                  <c:v>0.11849999999999999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65-44E3-BB0B-B6DE9E9F32A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MoR'!$M$11:$O$11</c:f>
              <c:numCache>
                <c:formatCode>0.00</c:formatCode>
                <c:ptCount val="3"/>
                <c:pt idx="0">
                  <c:v>5.8700000000000002E-2</c:v>
                </c:pt>
                <c:pt idx="1">
                  <c:v>8.14E-2</c:v>
                </c:pt>
                <c:pt idx="2">
                  <c:v>4.0099999999999997E-2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65-44E3-BB0B-B6DE9E9F32A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MoR'!$M$12:$O$12</c:f>
              <c:numCache>
                <c:formatCode>0.00</c:formatCode>
                <c:ptCount val="3"/>
                <c:pt idx="0">
                  <c:v>2.5600000000000001E-2</c:v>
                </c:pt>
                <c:pt idx="1">
                  <c:v>0.1101</c:v>
                </c:pt>
                <c:pt idx="2">
                  <c:v>0.12039999999999999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65-44E3-BB0B-B6DE9E9F32A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MoR'!$M$13:$O$13</c:f>
              <c:numCache>
                <c:formatCode>0.00</c:formatCode>
                <c:ptCount val="3"/>
                <c:pt idx="0">
                  <c:v>7.9100000000000004E-2</c:v>
                </c:pt>
                <c:pt idx="1">
                  <c:v>0.1157</c:v>
                </c:pt>
                <c:pt idx="2">
                  <c:v>8.8499999999999995E-2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65-44E3-BB0B-B6DE9E9F32A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MoR'!$M$14:$O$14</c:f>
              <c:numCache>
                <c:formatCode>0.00</c:formatCode>
                <c:ptCount val="3"/>
                <c:pt idx="0">
                  <c:v>0.13070000000000001</c:v>
                </c:pt>
                <c:pt idx="1">
                  <c:v>0.1236</c:v>
                </c:pt>
                <c:pt idx="2">
                  <c:v>0.16589999999999999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65-44E3-BB0B-B6DE9E9F32A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MoR'!$M$15:$O$15</c:f>
              <c:numCache>
                <c:formatCode>0.00</c:formatCode>
                <c:ptCount val="3"/>
                <c:pt idx="0">
                  <c:v>2.0199999999999999E-2</c:v>
                </c:pt>
                <c:pt idx="1">
                  <c:v>7.0400000000000004E-2</c:v>
                </c:pt>
                <c:pt idx="2">
                  <c:v>7.2300000000000003E-2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65-44E3-BB0B-B6DE9E9F32A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MoR'!$M$16:$O$16</c:f>
              <c:numCache>
                <c:formatCode>0.00</c:formatCode>
                <c:ptCount val="3"/>
                <c:pt idx="0">
                  <c:v>0.1067</c:v>
                </c:pt>
                <c:pt idx="1">
                  <c:v>0.13370000000000001</c:v>
                </c:pt>
                <c:pt idx="2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65-44E3-BB0B-B6DE9E9F32A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MoR'!$M$17:$O$17</c:f>
              <c:numCache>
                <c:formatCode>0.00</c:formatCode>
                <c:ptCount val="3"/>
                <c:pt idx="0">
                  <c:v>3.9199999999999999E-2</c:v>
                </c:pt>
                <c:pt idx="1">
                  <c:v>9.0700000000000003E-2</c:v>
                </c:pt>
                <c:pt idx="2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65-44E3-BB0B-B6DE9E9F32A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MoR'!$M$3:$O$3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MoR'!$M$18:$O$18</c:f>
              <c:numCache>
                <c:formatCode>0.00</c:formatCode>
                <c:ptCount val="3"/>
                <c:pt idx="0">
                  <c:v>9.69E-2</c:v>
                </c:pt>
                <c:pt idx="1">
                  <c:v>6.6299999999999998E-2</c:v>
                </c:pt>
                <c:pt idx="2">
                  <c:v>7.9399999999999998E-2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65-44E3-BB0B-B6DE9E9F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'Material Comparison - YS'!$B$19</c:f>
              <c:strCache>
                <c:ptCount val="1"/>
                <c:pt idx="0">
                  <c:v>Average Yield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YS'!$A$20:$A$22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YS'!$B$20:$B$22</c:f>
              <c:numCache>
                <c:formatCode>0.00</c:formatCode>
                <c:ptCount val="3"/>
                <c:pt idx="0">
                  <c:v>1.0891933333333335</c:v>
                </c:pt>
                <c:pt idx="1">
                  <c:v>1.4857133333333334</c:v>
                </c:pt>
                <c:pt idx="2">
                  <c:v>1.1948866666666664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7-4BDF-8940-A92FB3AC8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ysClr val="windowText" lastClr="000000"/>
                </a:solidFill>
              </a:rPr>
              <a:t>Material Comparison - Yield Strength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YS'!$M$4:$O$4</c:f>
              <c:numCache>
                <c:formatCode>0.00</c:formatCode>
                <c:ptCount val="3"/>
                <c:pt idx="0">
                  <c:v>3.4478</c:v>
                </c:pt>
                <c:pt idx="1">
                  <c:v>2.6981999999999999</c:v>
                </c:pt>
                <c:pt idx="2">
                  <c:v>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1-4137-95B6-F39B33266D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YS'!$M$5:$O$5</c:f>
              <c:numCache>
                <c:formatCode>0.00</c:formatCode>
                <c:ptCount val="3"/>
                <c:pt idx="0">
                  <c:v>0.68210000000000004</c:v>
                </c:pt>
                <c:pt idx="1">
                  <c:v>0.64910000000000001</c:v>
                </c:pt>
                <c:pt idx="2">
                  <c:v>0.75680000000000003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1-4137-95B6-F39B33266DB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YS'!$M$6:$O$6</c:f>
              <c:numCache>
                <c:formatCode>0.00</c:formatCode>
                <c:ptCount val="3"/>
                <c:pt idx="0">
                  <c:v>0.85670000000000002</c:v>
                </c:pt>
                <c:pt idx="1">
                  <c:v>0.69299999999999995</c:v>
                </c:pt>
                <c:pt idx="2">
                  <c:v>0.59799999999999998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1-4137-95B6-F39B33266DB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YS'!$M$7:$O$7</c:f>
              <c:numCache>
                <c:formatCode>0.00</c:formatCode>
                <c:ptCount val="3"/>
                <c:pt idx="0">
                  <c:v>0.50519999999999998</c:v>
                </c:pt>
                <c:pt idx="1">
                  <c:v>1.1251</c:v>
                </c:pt>
                <c:pt idx="2">
                  <c:v>1.0670999999999999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41-4137-95B6-F39B33266DB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YS'!$M$8:$O$8</c:f>
              <c:numCache>
                <c:formatCode>0.00</c:formatCode>
                <c:ptCount val="3"/>
                <c:pt idx="0">
                  <c:v>0.88429999999999997</c:v>
                </c:pt>
                <c:pt idx="1">
                  <c:v>1.7471000000000001</c:v>
                </c:pt>
                <c:pt idx="2">
                  <c:v>1.5927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41-4137-95B6-F39B33266DB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YS'!$M$9:$O$9</c:f>
              <c:numCache>
                <c:formatCode>0.00</c:formatCode>
                <c:ptCount val="3"/>
                <c:pt idx="0">
                  <c:v>0.4627</c:v>
                </c:pt>
                <c:pt idx="1">
                  <c:v>1.1477999999999999</c:v>
                </c:pt>
                <c:pt idx="2">
                  <c:v>0.85489999999999999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41-4137-95B6-F39B33266DB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YS'!$M$10:$O$10</c:f>
              <c:numCache>
                <c:formatCode>0.00</c:formatCode>
                <c:ptCount val="3"/>
                <c:pt idx="0">
                  <c:v>1.1915</c:v>
                </c:pt>
                <c:pt idx="1">
                  <c:v>1.7310000000000001</c:v>
                </c:pt>
                <c:pt idx="2">
                  <c:v>1.2203999999999999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41-4137-95B6-F39B33266DB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YS'!$M$11:$O$11</c:f>
              <c:numCache>
                <c:formatCode>0.00</c:formatCode>
                <c:ptCount val="3"/>
                <c:pt idx="0">
                  <c:v>0.8357</c:v>
                </c:pt>
                <c:pt idx="1">
                  <c:v>1.2306999999999999</c:v>
                </c:pt>
                <c:pt idx="2">
                  <c:v>0.63260000000000005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41-4137-95B6-F39B33266DB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YS'!$M$12:$O$12</c:f>
              <c:numCache>
                <c:formatCode>0.00</c:formatCode>
                <c:ptCount val="3"/>
                <c:pt idx="0">
                  <c:v>0.60750000000000004</c:v>
                </c:pt>
                <c:pt idx="1">
                  <c:v>1.5125999999999999</c:v>
                </c:pt>
                <c:pt idx="2">
                  <c:v>1.1698999999999999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41-4137-95B6-F39B33266DB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YS'!$M$13:$O$13</c:f>
              <c:numCache>
                <c:formatCode>0.00</c:formatCode>
                <c:ptCount val="3"/>
                <c:pt idx="0">
                  <c:v>1.1189</c:v>
                </c:pt>
                <c:pt idx="1">
                  <c:v>1.7043999999999999</c:v>
                </c:pt>
                <c:pt idx="2">
                  <c:v>1.1033999999999999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41-4137-95B6-F39B33266DB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YS'!$M$14:$O$14</c:f>
              <c:numCache>
                <c:formatCode>0.00</c:formatCode>
                <c:ptCount val="3"/>
                <c:pt idx="0">
                  <c:v>1.518</c:v>
                </c:pt>
                <c:pt idx="1">
                  <c:v>1.7942</c:v>
                </c:pt>
                <c:pt idx="2">
                  <c:v>1.4641999999999999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41-4137-95B6-F39B33266DB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YS'!$M$15:$O$15</c:f>
              <c:numCache>
                <c:formatCode>0.00</c:formatCode>
                <c:ptCount val="3"/>
                <c:pt idx="0">
                  <c:v>0.60750000000000004</c:v>
                </c:pt>
                <c:pt idx="1">
                  <c:v>1.35</c:v>
                </c:pt>
                <c:pt idx="2">
                  <c:v>1.0248999999999999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41-4137-95B6-F39B33266DB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YS'!$M$16:$O$16</c:f>
              <c:numCache>
                <c:formatCode>0.00</c:formatCode>
                <c:ptCount val="3"/>
                <c:pt idx="0">
                  <c:v>1.4839</c:v>
                </c:pt>
                <c:pt idx="1">
                  <c:v>2.0055999999999998</c:v>
                </c:pt>
                <c:pt idx="2">
                  <c:v>0.92620000000000002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41-4137-95B6-F39B33266DB5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YS'!$M$17:$O$17</c:f>
              <c:numCache>
                <c:formatCode>0.00</c:formatCode>
                <c:ptCount val="3"/>
                <c:pt idx="0">
                  <c:v>0.81379999999999997</c:v>
                </c:pt>
                <c:pt idx="1">
                  <c:v>1.4959</c:v>
                </c:pt>
                <c:pt idx="2">
                  <c:v>0.82030000000000003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941-4137-95B6-F39B33266DB5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'Material Comparison - YS'!$M$3:$O$3</c:f>
              <c:strCache>
                <c:ptCount val="3"/>
                <c:pt idx="0">
                  <c:v>ABS</c:v>
                </c:pt>
                <c:pt idx="1">
                  <c:v>PLA</c:v>
                </c:pt>
                <c:pt idx="2">
                  <c:v>PETG</c:v>
                </c:pt>
              </c:strCache>
            </c:strRef>
          </c:cat>
          <c:val>
            <c:numRef>
              <c:f>'Material Comparison - YS'!$M$18:$O$18</c:f>
              <c:numCache>
                <c:formatCode>0.00</c:formatCode>
                <c:ptCount val="3"/>
                <c:pt idx="0">
                  <c:v>1.3223</c:v>
                </c:pt>
                <c:pt idx="1">
                  <c:v>1.401</c:v>
                </c:pt>
                <c:pt idx="2">
                  <c:v>1.1318999999999999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41-4137-95B6-F39B3326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4472072"/>
        <c:axId val="972765192"/>
      </c:barChart>
      <c:catAx>
        <c:axId val="904472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65192"/>
        <c:crosses val="autoZero"/>
        <c:auto val="1"/>
        <c:lblAlgn val="ctr"/>
        <c:lblOffset val="100"/>
        <c:noMultiLvlLbl val="0"/>
      </c:catAx>
      <c:valAx>
        <c:axId val="9727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72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 Ultimate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'Perimeter Comparison - UTS'!$B$16</c:f>
              <c:strCache>
                <c:ptCount val="1"/>
                <c:pt idx="0">
                  <c:v>Average Ultimate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UTS'!$A$17:$A$18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UTS'!$B$17:$B$18</c:f>
              <c:numCache>
                <c:formatCode>0.00</c:formatCode>
                <c:ptCount val="2"/>
                <c:pt idx="0">
                  <c:v>1.9216944444444444</c:v>
                </c:pt>
                <c:pt idx="1">
                  <c:v>2.5292777777777773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2-4A10-BDC7-4B3941818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Perimeter</a:t>
            </a:r>
            <a:r>
              <a:rPr lang="en-US" baseline="0"/>
              <a:t> Number Comparison - 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UTS'!$U$4:$V$4</c:f>
              <c:numCache>
                <c:formatCode>0.00</c:formatCode>
                <c:ptCount val="2"/>
                <c:pt idx="0">
                  <c:v>1.335</c:v>
                </c:pt>
                <c:pt idx="1">
                  <c:v>1.8508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1-44E9-999A-B411AFCE241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UTS'!$U$5:$V$5</c:f>
              <c:numCache>
                <c:formatCode>General</c:formatCode>
                <c:ptCount val="2"/>
                <c:pt idx="0">
                  <c:v>1.4450000000000001</c:v>
                </c:pt>
                <c:pt idx="1">
                  <c:v>2.1374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1-44E9-999A-B411AFCE241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UTS'!$U$6:$V$6</c:f>
              <c:numCache>
                <c:formatCode>General</c:formatCode>
                <c:ptCount val="2"/>
                <c:pt idx="0">
                  <c:v>1.4693000000000001</c:v>
                </c:pt>
                <c:pt idx="1">
                  <c:v>2.0701999999999998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1-44E9-999A-B411AFCE241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UTS'!$U$7:$V$7</c:f>
              <c:numCache>
                <c:formatCode>General</c:formatCode>
                <c:ptCount val="2"/>
                <c:pt idx="0">
                  <c:v>1.8183</c:v>
                </c:pt>
                <c:pt idx="1">
                  <c:v>2.3704999999999998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31-44E9-999A-B411AFCE241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UTS'!$U$8:$V$8</c:f>
              <c:numCache>
                <c:formatCode>General</c:formatCode>
                <c:ptCount val="2"/>
                <c:pt idx="0">
                  <c:v>1.4342999999999999</c:v>
                </c:pt>
                <c:pt idx="1">
                  <c:v>1.8688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1-44E9-999A-B411AFCE2411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UTS'!$U$9:$V$9</c:f>
              <c:numCache>
                <c:formatCode>General</c:formatCode>
                <c:ptCount val="2"/>
                <c:pt idx="0">
                  <c:v>1.5629</c:v>
                </c:pt>
                <c:pt idx="1">
                  <c:v>2.1360999999999999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31-44E9-999A-B411AFCE2411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UTS'!$U$10:$V$10</c:f>
              <c:numCache>
                <c:formatCode>0.00</c:formatCode>
                <c:ptCount val="2"/>
                <c:pt idx="0">
                  <c:v>1.7476</c:v>
                </c:pt>
                <c:pt idx="1">
                  <c:v>2.8334000000000001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1-44E9-999A-B411AFCE2411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UTS'!$U$11:$V$11</c:f>
              <c:numCache>
                <c:formatCode>General</c:formatCode>
                <c:ptCount val="2"/>
                <c:pt idx="0">
                  <c:v>2.4641999999999999</c:v>
                </c:pt>
                <c:pt idx="1">
                  <c:v>2.8868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31-44E9-999A-B411AFCE2411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UTS'!$U$12:$V$12</c:f>
              <c:numCache>
                <c:formatCode>General</c:formatCode>
                <c:ptCount val="2"/>
                <c:pt idx="0">
                  <c:v>2.1301999999999999</c:v>
                </c:pt>
                <c:pt idx="1">
                  <c:v>2.8893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31-44E9-999A-B411AFCE2411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UTS'!$U$13:$V$13</c:f>
              <c:numCache>
                <c:formatCode>General</c:formatCode>
                <c:ptCount val="2"/>
                <c:pt idx="0">
                  <c:v>2.6031</c:v>
                </c:pt>
                <c:pt idx="1">
                  <c:v>3.2658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31-44E9-999A-B411AFCE2411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UTS'!$U$14:$V$14</c:f>
              <c:numCache>
                <c:formatCode>General</c:formatCode>
                <c:ptCount val="2"/>
                <c:pt idx="0">
                  <c:v>2.0438000000000001</c:v>
                </c:pt>
                <c:pt idx="1">
                  <c:v>2.6368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31-44E9-999A-B411AFCE2411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UTS'!$U$15:$V$15</c:f>
              <c:numCache>
                <c:formatCode>General</c:formatCode>
                <c:ptCount val="2"/>
                <c:pt idx="0">
                  <c:v>2.3403999999999998</c:v>
                </c:pt>
                <c:pt idx="1">
                  <c:v>3.1633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31-44E9-999A-B411AFCE2411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UTS'!$U$16:$V$16</c:f>
              <c:numCache>
                <c:formatCode>0.00</c:formatCode>
                <c:ptCount val="2"/>
                <c:pt idx="0">
                  <c:v>2.0192000000000001</c:v>
                </c:pt>
                <c:pt idx="1">
                  <c:v>2.3268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31-44E9-999A-B411AFCE2411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UTS'!$U$17:$V$17</c:f>
              <c:numCache>
                <c:formatCode>General</c:formatCode>
                <c:ptCount val="2"/>
                <c:pt idx="0">
                  <c:v>2.2999999999999998</c:v>
                </c:pt>
                <c:pt idx="1">
                  <c:v>2.5102000000000002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31-44E9-999A-B411AFCE2411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UTS'!$U$18:$V$18</c:f>
              <c:numCache>
                <c:formatCode>General</c:formatCode>
                <c:ptCount val="2"/>
                <c:pt idx="0">
                  <c:v>1.7901</c:v>
                </c:pt>
                <c:pt idx="1">
                  <c:v>2.5668000000000002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31-44E9-999A-B411AFCE2411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UTS'!$U$19:$V$19</c:f>
              <c:numCache>
                <c:formatCode>General</c:formatCode>
                <c:ptCount val="2"/>
                <c:pt idx="0">
                  <c:v>2.2187999999999999</c:v>
                </c:pt>
                <c:pt idx="1">
                  <c:v>2.9683999999999999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31-44E9-999A-B411AFCE2411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UTS'!$U$20:$V$20</c:f>
              <c:numCache>
                <c:formatCode>General</c:formatCode>
                <c:ptCount val="2"/>
                <c:pt idx="0">
                  <c:v>1.7519</c:v>
                </c:pt>
                <c:pt idx="1">
                  <c:v>2.4034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C31-44E9-999A-B411AFCE2411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UTS'!$U$3:$V$3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UTS'!$U$21:$V$21</c:f>
              <c:numCache>
                <c:formatCode>General</c:formatCode>
                <c:ptCount val="2"/>
                <c:pt idx="0">
                  <c:v>2.1164000000000001</c:v>
                </c:pt>
                <c:pt idx="1">
                  <c:v>2.6421999999999999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31-44E9-999A-B411AFCE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370063"/>
        <c:axId val="1430370543"/>
      </c:barChart>
      <c:catAx>
        <c:axId val="14303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543"/>
        <c:crosses val="autoZero"/>
        <c:auto val="1"/>
        <c:lblAlgn val="ctr"/>
        <c:lblOffset val="100"/>
        <c:noMultiLvlLbl val="0"/>
      </c:catAx>
      <c:valAx>
        <c:axId val="14303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 Modulus of Elasticity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'Perimeter Comparison - MoE'!$B$16</c:f>
              <c:strCache>
                <c:ptCount val="1"/>
                <c:pt idx="0">
                  <c:v>Average Modulus of Elasticity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MoE'!$A$17:$A$18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MoE'!$B$17:$B$18</c:f>
              <c:numCache>
                <c:formatCode>0.00</c:formatCode>
                <c:ptCount val="2"/>
                <c:pt idx="0">
                  <c:v>241.7766666666667</c:v>
                </c:pt>
                <c:pt idx="1">
                  <c:v>323.26444444444445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8-4F00-B47F-CAF138B32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Perimeter</a:t>
            </a:r>
            <a:r>
              <a:rPr lang="en-US" baseline="0"/>
              <a:t> Number Comparison - Modulus of Elasticity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MoE'!$U$4:$V$4</c:f>
              <c:numCache>
                <c:formatCode>0.00</c:formatCode>
                <c:ptCount val="2"/>
                <c:pt idx="0">
                  <c:v>205.66</c:v>
                </c:pt>
                <c:pt idx="1">
                  <c:v>252.92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5-472F-A3E4-696B90F4FB7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MoE'!$U$5:$V$5</c:f>
              <c:numCache>
                <c:formatCode>General</c:formatCode>
                <c:ptCount val="2"/>
                <c:pt idx="0">
                  <c:v>201.67</c:v>
                </c:pt>
                <c:pt idx="1">
                  <c:v>276.22000000000003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5-472F-A3E4-696B90F4FB7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MoE'!$U$6:$V$6</c:f>
              <c:numCache>
                <c:formatCode>General</c:formatCode>
                <c:ptCount val="2"/>
                <c:pt idx="0">
                  <c:v>227.06</c:v>
                </c:pt>
                <c:pt idx="1">
                  <c:v>318.51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5-472F-A3E4-696B90F4FB7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MoE'!$U$7:$V$7</c:f>
              <c:numCache>
                <c:formatCode>General</c:formatCode>
                <c:ptCount val="2"/>
                <c:pt idx="0">
                  <c:v>250.75</c:v>
                </c:pt>
                <c:pt idx="1">
                  <c:v>326.7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5-472F-A3E4-696B90F4FB7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MoE'!$U$8:$V$8</c:f>
              <c:numCache>
                <c:formatCode>General</c:formatCode>
                <c:ptCount val="2"/>
                <c:pt idx="0">
                  <c:v>190.34</c:v>
                </c:pt>
                <c:pt idx="1">
                  <c:v>277.42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A5-472F-A3E4-696B90F4FB7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MoE'!$U$9:$V$9</c:f>
              <c:numCache>
                <c:formatCode>General</c:formatCode>
                <c:ptCount val="2"/>
                <c:pt idx="0">
                  <c:v>238.64</c:v>
                </c:pt>
                <c:pt idx="1">
                  <c:v>285.92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A5-472F-A3E4-696B90F4FB7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MoE'!$U$10:$V$10</c:f>
              <c:numCache>
                <c:formatCode>0.00</c:formatCode>
                <c:ptCount val="2"/>
                <c:pt idx="0">
                  <c:v>254.67</c:v>
                </c:pt>
                <c:pt idx="1">
                  <c:v>403.11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A5-472F-A3E4-696B90F4FB7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MoE'!$U$11:$V$11</c:f>
              <c:numCache>
                <c:formatCode>General</c:formatCode>
                <c:ptCount val="2"/>
                <c:pt idx="0">
                  <c:v>369.98</c:v>
                </c:pt>
                <c:pt idx="1">
                  <c:v>414.66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A5-472F-A3E4-696B90F4FB7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MoE'!$U$12:$V$12</c:f>
              <c:numCache>
                <c:formatCode>General</c:formatCode>
                <c:ptCount val="2"/>
                <c:pt idx="0">
                  <c:v>319.06</c:v>
                </c:pt>
                <c:pt idx="1">
                  <c:v>423.57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A5-472F-A3E4-696B90F4FB7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MoE'!$U$13:$V$13</c:f>
              <c:numCache>
                <c:formatCode>General</c:formatCode>
                <c:ptCount val="2"/>
                <c:pt idx="0">
                  <c:v>390.65</c:v>
                </c:pt>
                <c:pt idx="1">
                  <c:v>483.77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A5-472F-A3E4-696B90F4FB7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MoE'!$U$14:$V$14</c:f>
              <c:numCache>
                <c:formatCode>General</c:formatCode>
                <c:ptCount val="2"/>
                <c:pt idx="0">
                  <c:v>295.55</c:v>
                </c:pt>
                <c:pt idx="1">
                  <c:v>401.55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A5-472F-A3E4-696B90F4FB7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MoE'!$U$15:$V$15</c:f>
              <c:numCache>
                <c:formatCode>General</c:formatCode>
                <c:ptCount val="2"/>
                <c:pt idx="0">
                  <c:v>332.1</c:v>
                </c:pt>
                <c:pt idx="1">
                  <c:v>490.71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3A5-472F-A3E4-696B90F4FB7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MoE'!$U$16:$V$16</c:f>
              <c:numCache>
                <c:formatCode>0.00</c:formatCode>
                <c:ptCount val="2"/>
                <c:pt idx="0">
                  <c:v>176.33</c:v>
                </c:pt>
                <c:pt idx="1">
                  <c:v>216.39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A5-472F-A3E4-696B90F4FB7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MoE'!$U$17:$V$17</c:f>
              <c:numCache>
                <c:formatCode>General</c:formatCode>
                <c:ptCount val="2"/>
                <c:pt idx="0">
                  <c:v>198.2</c:v>
                </c:pt>
                <c:pt idx="1">
                  <c:v>222.88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3A5-472F-A3E4-696B90F4FB7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MoE'!$U$18:$V$18</c:f>
              <c:numCache>
                <c:formatCode>General</c:formatCode>
                <c:ptCount val="2"/>
                <c:pt idx="0">
                  <c:v>162.5</c:v>
                </c:pt>
                <c:pt idx="1">
                  <c:v>234.1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A5-472F-A3E4-696B90F4FB7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MoE'!$U$19:$V$19</c:f>
              <c:numCache>
                <c:formatCode>General</c:formatCode>
                <c:ptCount val="2"/>
                <c:pt idx="0">
                  <c:v>196.94</c:v>
                </c:pt>
                <c:pt idx="1">
                  <c:v>297.60000000000002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A5-472F-A3E4-696B90F4FB7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MoE'!$U$20:$V$20</c:f>
              <c:numCache>
                <c:formatCode>General</c:formatCode>
                <c:ptCount val="2"/>
                <c:pt idx="0">
                  <c:v>158.37</c:v>
                </c:pt>
                <c:pt idx="1">
                  <c:v>239.77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A5-472F-A3E4-696B90F4FB7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MoE'!$U$3:$V$3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MoE'!$U$21:$V$21</c:f>
              <c:numCache>
                <c:formatCode>General</c:formatCode>
                <c:ptCount val="2"/>
                <c:pt idx="0">
                  <c:v>183.51</c:v>
                </c:pt>
                <c:pt idx="1">
                  <c:v>252.96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3A5-472F-A3E4-696B90F4F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370063"/>
        <c:axId val="1430370543"/>
      </c:barChart>
      <c:catAx>
        <c:axId val="14303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543"/>
        <c:crosses val="autoZero"/>
        <c:auto val="1"/>
        <c:lblAlgn val="ctr"/>
        <c:lblOffset val="100"/>
        <c:noMultiLvlLbl val="0"/>
      </c:catAx>
      <c:valAx>
        <c:axId val="14303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 Modulus of Resilience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'Perimeter Comparison - MoR'!$B$16</c:f>
              <c:strCache>
                <c:ptCount val="1"/>
                <c:pt idx="0">
                  <c:v>Average Modulus of Resilience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MoR'!$A$17:$A$18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MoR'!$B$17:$B$18</c:f>
              <c:numCache>
                <c:formatCode>0.00</c:formatCode>
                <c:ptCount val="2"/>
                <c:pt idx="0">
                  <c:v>8.4738888888888905E-2</c:v>
                </c:pt>
                <c:pt idx="1">
                  <c:v>8.7238888888888894E-2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3-47BA-9392-696DEB9EF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Perimeter</a:t>
            </a:r>
            <a:r>
              <a:rPr lang="en-US" baseline="0"/>
              <a:t> Number Comparison - Modulus of Resilience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MoR'!$U$4:$V$4</c:f>
              <c:numCache>
                <c:formatCode>0.00</c:formatCode>
                <c:ptCount val="2"/>
                <c:pt idx="0">
                  <c:v>2.07E-2</c:v>
                </c:pt>
                <c:pt idx="1">
                  <c:v>7.9100000000000004E-2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9-4685-81A5-CB8C55F085E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MoR'!$U$5:$V$5</c:f>
              <c:numCache>
                <c:formatCode>General</c:formatCode>
                <c:ptCount val="2"/>
                <c:pt idx="0">
                  <c:v>6.0999999999999999E-2</c:v>
                </c:pt>
                <c:pt idx="1">
                  <c:v>0.13070000000000001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9-4685-81A5-CB8C55F085E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MoR'!$U$6:$V$6</c:f>
              <c:numCache>
                <c:formatCode>General</c:formatCode>
                <c:ptCount val="2"/>
                <c:pt idx="0">
                  <c:v>1.61E-2</c:v>
                </c:pt>
                <c:pt idx="1">
                  <c:v>2.0199999999999999E-2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9-4685-81A5-CB8C55F085EC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MoR'!$U$7:$V$7</c:f>
              <c:numCache>
                <c:formatCode>General</c:formatCode>
                <c:ptCount val="2"/>
                <c:pt idx="0">
                  <c:v>8.9300000000000004E-2</c:v>
                </c:pt>
                <c:pt idx="1">
                  <c:v>0.1067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9-4685-81A5-CB8C55F085EC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MoR'!$U$8:$V$8</c:f>
              <c:numCache>
                <c:formatCode>General</c:formatCode>
                <c:ptCount val="2"/>
                <c:pt idx="0">
                  <c:v>5.8700000000000002E-2</c:v>
                </c:pt>
                <c:pt idx="1">
                  <c:v>3.9199999999999999E-2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D9-4685-81A5-CB8C55F085EC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MoR'!$U$9:$V$9</c:f>
              <c:numCache>
                <c:formatCode>General</c:formatCode>
                <c:ptCount val="2"/>
                <c:pt idx="0">
                  <c:v>2.5600000000000001E-2</c:v>
                </c:pt>
                <c:pt idx="1">
                  <c:v>9.69E-2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D9-4685-81A5-CB8C55F085EC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MoR'!$U$10:$V$10</c:f>
              <c:numCache>
                <c:formatCode>0.00</c:formatCode>
                <c:ptCount val="2"/>
                <c:pt idx="0">
                  <c:v>7.9799999999999996E-2</c:v>
                </c:pt>
                <c:pt idx="1">
                  <c:v>0.1157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D9-4685-81A5-CB8C55F085EC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MoR'!$U$11:$V$11</c:f>
              <c:numCache>
                <c:formatCode>General</c:formatCode>
                <c:ptCount val="2"/>
                <c:pt idx="0">
                  <c:v>0.13500000000000001</c:v>
                </c:pt>
                <c:pt idx="1">
                  <c:v>0.1236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D9-4685-81A5-CB8C55F085EC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MoR'!$U$12:$V$12</c:f>
              <c:numCache>
                <c:formatCode>General</c:formatCode>
                <c:ptCount val="2"/>
                <c:pt idx="0">
                  <c:v>6.7299999999999999E-2</c:v>
                </c:pt>
                <c:pt idx="1">
                  <c:v>7.0400000000000004E-2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D9-4685-81A5-CB8C55F085EC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MoR'!$U$13:$V$13</c:f>
              <c:numCache>
                <c:formatCode>General</c:formatCode>
                <c:ptCount val="2"/>
                <c:pt idx="0">
                  <c:v>0.12230000000000001</c:v>
                </c:pt>
                <c:pt idx="1">
                  <c:v>0.13370000000000001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D9-4685-81A5-CB8C55F085EC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MoR'!$U$14:$V$14</c:f>
              <c:numCache>
                <c:formatCode>General</c:formatCode>
                <c:ptCount val="2"/>
                <c:pt idx="0">
                  <c:v>8.14E-2</c:v>
                </c:pt>
                <c:pt idx="1">
                  <c:v>9.0700000000000003E-2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D9-4685-81A5-CB8C55F085EC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MoR'!$U$15:$V$15</c:f>
              <c:numCache>
                <c:formatCode>General</c:formatCode>
                <c:ptCount val="2"/>
                <c:pt idx="0">
                  <c:v>0.1101</c:v>
                </c:pt>
                <c:pt idx="1">
                  <c:v>6.6299999999999998E-2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D9-4685-81A5-CB8C55F085EC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MoR'!$U$16:$V$16</c:f>
              <c:numCache>
                <c:formatCode>0.00</c:formatCode>
                <c:ptCount val="2"/>
                <c:pt idx="0">
                  <c:v>9.9400000000000002E-2</c:v>
                </c:pt>
                <c:pt idx="1">
                  <c:v>8.8499999999999995E-2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D9-4685-81A5-CB8C55F085EC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MoR'!$U$17:$V$17</c:f>
              <c:numCache>
                <c:formatCode>General</c:formatCode>
                <c:ptCount val="2"/>
                <c:pt idx="0">
                  <c:v>0.2044</c:v>
                </c:pt>
                <c:pt idx="1">
                  <c:v>0.16589999999999999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D9-4685-81A5-CB8C55F085EC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MoR'!$U$18:$V$18</c:f>
              <c:numCache>
                <c:formatCode>General</c:formatCode>
                <c:ptCount val="2"/>
                <c:pt idx="0">
                  <c:v>7.5200000000000003E-2</c:v>
                </c:pt>
                <c:pt idx="1">
                  <c:v>7.2300000000000003E-2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D9-4685-81A5-CB8C55F085EC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MoR'!$U$19:$V$19</c:f>
              <c:numCache>
                <c:formatCode>General</c:formatCode>
                <c:ptCount val="2"/>
                <c:pt idx="0">
                  <c:v>0.11849999999999999</c:v>
                </c:pt>
                <c:pt idx="1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D9-4685-81A5-CB8C55F085EC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MoR'!$U$20:$V$20</c:f>
              <c:numCache>
                <c:formatCode>General</c:formatCode>
                <c:ptCount val="2"/>
                <c:pt idx="0">
                  <c:v>4.0099999999999997E-2</c:v>
                </c:pt>
                <c:pt idx="1">
                  <c:v>4.5499999999999999E-2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CD9-4685-81A5-CB8C55F085EC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MoR'!$U$3:$V$3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MoR'!$U$21:$V$21</c:f>
              <c:numCache>
                <c:formatCode>General</c:formatCode>
                <c:ptCount val="2"/>
                <c:pt idx="0">
                  <c:v>0.12039999999999999</c:v>
                </c:pt>
                <c:pt idx="1">
                  <c:v>7.9399999999999998E-2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D9-4685-81A5-CB8C55F08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370063"/>
        <c:axId val="1430370543"/>
      </c:barChart>
      <c:catAx>
        <c:axId val="14303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543"/>
        <c:crosses val="autoZero"/>
        <c:auto val="1"/>
        <c:lblAlgn val="ctr"/>
        <c:lblOffset val="100"/>
        <c:noMultiLvlLbl val="0"/>
      </c:catAx>
      <c:valAx>
        <c:axId val="14303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'Perimeter Comparison - YS'!$B$16</c:f>
              <c:strCache>
                <c:ptCount val="1"/>
                <c:pt idx="0">
                  <c:v>Average Yield Strength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YS'!$A$17:$A$18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YS'!$B$17:$B$18</c:f>
              <c:numCache>
                <c:formatCode>0.00</c:formatCode>
                <c:ptCount val="2"/>
                <c:pt idx="0">
                  <c:v>1.0843777777777777</c:v>
                </c:pt>
                <c:pt idx="1">
                  <c:v>1.2825777777777776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B-43E1-895C-15B656664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55706376"/>
        <c:axId val="1204741640"/>
      </c:barChart>
      <c:catAx>
        <c:axId val="9557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41640"/>
        <c:crosses val="autoZero"/>
        <c:auto val="1"/>
        <c:lblAlgn val="ctr"/>
        <c:lblOffset val="100"/>
        <c:noMultiLvlLbl val="0"/>
      </c:catAx>
      <c:valAx>
        <c:axId val="1204741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7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Perimeter</a:t>
            </a:r>
            <a:r>
              <a:rPr lang="en-US" baseline="0"/>
              <a:t> Number Comparison - Yield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YS'!$U$4:$V$4</c:f>
              <c:numCache>
                <c:formatCode>0.00</c:formatCode>
                <c:ptCount val="2"/>
                <c:pt idx="0">
                  <c:v>0.50519999999999998</c:v>
                </c:pt>
                <c:pt idx="1">
                  <c:v>1.1189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2-4394-AE22-89F2B2F711B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YS'!$U$5:$V$5</c:f>
              <c:numCache>
                <c:formatCode>General</c:formatCode>
                <c:ptCount val="2"/>
                <c:pt idx="0">
                  <c:v>0.88429999999999997</c:v>
                </c:pt>
                <c:pt idx="1">
                  <c:v>1.518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2-4394-AE22-89F2B2F711B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YS'!$U$6:$V$6</c:f>
              <c:numCache>
                <c:formatCode>General</c:formatCode>
                <c:ptCount val="2"/>
                <c:pt idx="0">
                  <c:v>0.4627</c:v>
                </c:pt>
                <c:pt idx="1">
                  <c:v>0.60750000000000004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2-4394-AE22-89F2B2F711B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YS'!$U$7:$V$7</c:f>
              <c:numCache>
                <c:formatCode>General</c:formatCode>
                <c:ptCount val="2"/>
                <c:pt idx="0">
                  <c:v>1.1915</c:v>
                </c:pt>
                <c:pt idx="1">
                  <c:v>1.4839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2-4394-AE22-89F2B2F711B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YS'!$U$8:$V$8</c:f>
              <c:numCache>
                <c:formatCode>General</c:formatCode>
                <c:ptCount val="2"/>
                <c:pt idx="0">
                  <c:v>0.8357</c:v>
                </c:pt>
                <c:pt idx="1">
                  <c:v>0.81379999999999997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C2-4394-AE22-89F2B2F711B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YS'!$U$9:$V$9</c:f>
              <c:numCache>
                <c:formatCode>General</c:formatCode>
                <c:ptCount val="2"/>
                <c:pt idx="0">
                  <c:v>0.60750000000000004</c:v>
                </c:pt>
                <c:pt idx="1">
                  <c:v>1.3223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C2-4394-AE22-89F2B2F711B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YS'!$U$10:$V$10</c:f>
              <c:numCache>
                <c:formatCode>0.00</c:formatCode>
                <c:ptCount val="2"/>
                <c:pt idx="0">
                  <c:v>1.1251</c:v>
                </c:pt>
                <c:pt idx="1">
                  <c:v>1.7043999999999999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C2-4394-AE22-89F2B2F711B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YS'!$U$11:$V$11</c:f>
              <c:numCache>
                <c:formatCode>General</c:formatCode>
                <c:ptCount val="2"/>
                <c:pt idx="0">
                  <c:v>1.7471000000000001</c:v>
                </c:pt>
                <c:pt idx="1">
                  <c:v>1.7942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C2-4394-AE22-89F2B2F711B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YS'!$U$12:$V$12</c:f>
              <c:numCache>
                <c:formatCode>General</c:formatCode>
                <c:ptCount val="2"/>
                <c:pt idx="0">
                  <c:v>1.1477999999999999</c:v>
                </c:pt>
                <c:pt idx="1">
                  <c:v>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C2-4394-AE22-89F2B2F711B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YS'!$U$13:$V$13</c:f>
              <c:numCache>
                <c:formatCode>General</c:formatCode>
                <c:ptCount val="2"/>
                <c:pt idx="0">
                  <c:v>1.7310000000000001</c:v>
                </c:pt>
                <c:pt idx="1">
                  <c:v>2.0055999999999998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C2-4394-AE22-89F2B2F711B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YS'!$U$14:$V$14</c:f>
              <c:numCache>
                <c:formatCode>General</c:formatCode>
                <c:ptCount val="2"/>
                <c:pt idx="0">
                  <c:v>1.2306999999999999</c:v>
                </c:pt>
                <c:pt idx="1">
                  <c:v>1.4959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C2-4394-AE22-89F2B2F711B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YS'!$U$15:$V$15</c:f>
              <c:numCache>
                <c:formatCode>General</c:formatCode>
                <c:ptCount val="2"/>
                <c:pt idx="0">
                  <c:v>1.5125999999999999</c:v>
                </c:pt>
                <c:pt idx="1">
                  <c:v>1.401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C2-4394-AE22-89F2B2F711B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YS'!$U$16:$V$16</c:f>
              <c:numCache>
                <c:formatCode>0.00</c:formatCode>
                <c:ptCount val="2"/>
                <c:pt idx="0">
                  <c:v>1.0670999999999999</c:v>
                </c:pt>
                <c:pt idx="1">
                  <c:v>1.1033999999999999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C2-4394-AE22-89F2B2F711B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YS'!$U$17:$V$17</c:f>
              <c:numCache>
                <c:formatCode>General</c:formatCode>
                <c:ptCount val="2"/>
                <c:pt idx="0">
                  <c:v>1.5927</c:v>
                </c:pt>
                <c:pt idx="1">
                  <c:v>1.4641999999999999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C2-4394-AE22-89F2B2F711B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YS'!$U$18:$V$18</c:f>
              <c:numCache>
                <c:formatCode>General</c:formatCode>
                <c:ptCount val="2"/>
                <c:pt idx="0">
                  <c:v>0.85489999999999999</c:v>
                </c:pt>
                <c:pt idx="1">
                  <c:v>1.0248999999999999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9C2-4394-AE22-89F2B2F711B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YS'!$U$19:$V$19</c:f>
              <c:numCache>
                <c:formatCode>General</c:formatCode>
                <c:ptCount val="2"/>
                <c:pt idx="0">
                  <c:v>1.2203999999999999</c:v>
                </c:pt>
                <c:pt idx="1">
                  <c:v>0.92620000000000002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9C2-4394-AE22-89F2B2F711B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YS'!$U$20:$V$20</c:f>
              <c:numCache>
                <c:formatCode>General</c:formatCode>
                <c:ptCount val="2"/>
                <c:pt idx="0">
                  <c:v>0.63260000000000005</c:v>
                </c:pt>
                <c:pt idx="1">
                  <c:v>0.82030000000000003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9C2-4394-AE22-89F2B2F711B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'Perimeter Comparison - YS'!$U$3:$V$3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'Perimeter Comparison - YS'!$U$21:$V$21</c:f>
              <c:numCache>
                <c:formatCode>General</c:formatCode>
                <c:ptCount val="2"/>
                <c:pt idx="0">
                  <c:v>1.1698999999999999</c:v>
                </c:pt>
                <c:pt idx="1">
                  <c:v>1.1318999999999999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9C2-4394-AE22-89F2B2F71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370063"/>
        <c:axId val="1430370543"/>
      </c:barChart>
      <c:catAx>
        <c:axId val="14303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543"/>
        <c:crosses val="autoZero"/>
        <c:auto val="1"/>
        <c:lblAlgn val="ctr"/>
        <c:lblOffset val="100"/>
        <c:noMultiLvlLbl val="0"/>
      </c:catAx>
      <c:valAx>
        <c:axId val="143037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81644</xdr:colOff>
      <xdr:row>15</xdr:row>
      <xdr:rowOff>205469</xdr:rowOff>
    </xdr:from>
    <xdr:to>
      <xdr:col>9</xdr:col>
      <xdr:colOff>434069</xdr:colOff>
      <xdr:row>32</xdr:row>
      <xdr:rowOff>107498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B5B70-AA8E-19C4-BA35-D0DAF42C5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519792</xdr:colOff>
      <xdr:row>15</xdr:row>
      <xdr:rowOff>210910</xdr:rowOff>
    </xdr:from>
    <xdr:to>
      <xdr:col>17</xdr:col>
      <xdr:colOff>595992</xdr:colOff>
      <xdr:row>32</xdr:row>
      <xdr:rowOff>112939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76B538-4804-15EA-6DA6-82FAE81024AE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81644</xdr:colOff>
      <xdr:row>15</xdr:row>
      <xdr:rowOff>205469</xdr:rowOff>
    </xdr:from>
    <xdr:to>
      <xdr:col>9</xdr:col>
      <xdr:colOff>434069</xdr:colOff>
      <xdr:row>32</xdr:row>
      <xdr:rowOff>107498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C4D56-7A4E-414C-8F3E-BE3753E94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519792</xdr:colOff>
      <xdr:row>15</xdr:row>
      <xdr:rowOff>210910</xdr:rowOff>
    </xdr:from>
    <xdr:to>
      <xdr:col>17</xdr:col>
      <xdr:colOff>595992</xdr:colOff>
      <xdr:row>32</xdr:row>
      <xdr:rowOff>112939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E77DC-8E7C-43BA-839C-F62C8F67939B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81644</xdr:colOff>
      <xdr:row>15</xdr:row>
      <xdr:rowOff>205469</xdr:rowOff>
    </xdr:from>
    <xdr:to>
      <xdr:col>9</xdr:col>
      <xdr:colOff>434069</xdr:colOff>
      <xdr:row>32</xdr:row>
      <xdr:rowOff>107498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77AC8-262B-475C-BCEF-584B37606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519792</xdr:colOff>
      <xdr:row>15</xdr:row>
      <xdr:rowOff>210910</xdr:rowOff>
    </xdr:from>
    <xdr:to>
      <xdr:col>17</xdr:col>
      <xdr:colOff>595992</xdr:colOff>
      <xdr:row>32</xdr:row>
      <xdr:rowOff>112939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D62F93-F360-4EDA-9C8E-902915AAFA31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81644</xdr:colOff>
      <xdr:row>15</xdr:row>
      <xdr:rowOff>205469</xdr:rowOff>
    </xdr:from>
    <xdr:to>
      <xdr:col>9</xdr:col>
      <xdr:colOff>434069</xdr:colOff>
      <xdr:row>32</xdr:row>
      <xdr:rowOff>107498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32A019-A34C-4477-B435-11B76F745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519792</xdr:colOff>
      <xdr:row>15</xdr:row>
      <xdr:rowOff>210910</xdr:rowOff>
    </xdr:from>
    <xdr:to>
      <xdr:col>17</xdr:col>
      <xdr:colOff>595992</xdr:colOff>
      <xdr:row>32</xdr:row>
      <xdr:rowOff>112939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C2B8A-AA49-4AC5-9AC4-9B803F757307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21</xdr:row>
      <xdr:rowOff>96610</xdr:rowOff>
    </xdr:from>
    <xdr:to>
      <xdr:col>9</xdr:col>
      <xdr:colOff>420461</xdr:colOff>
      <xdr:row>39</xdr:row>
      <xdr:rowOff>134710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63455-34BB-4C97-B118-B4C9ACA2E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21</xdr:row>
      <xdr:rowOff>47625</xdr:rowOff>
    </xdr:from>
    <xdr:to>
      <xdr:col>17</xdr:col>
      <xdr:colOff>647699</xdr:colOff>
      <xdr:row>39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F6A8BF-ABA7-44FC-A783-F31A838DA21B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21</xdr:row>
      <xdr:rowOff>96610</xdr:rowOff>
    </xdr:from>
    <xdr:to>
      <xdr:col>9</xdr:col>
      <xdr:colOff>420461</xdr:colOff>
      <xdr:row>39</xdr:row>
      <xdr:rowOff>134710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4769C-A1F1-40AB-B243-7596AFBB5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21</xdr:row>
      <xdr:rowOff>47625</xdr:rowOff>
    </xdr:from>
    <xdr:to>
      <xdr:col>17</xdr:col>
      <xdr:colOff>647699</xdr:colOff>
      <xdr:row>39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B53A5B-6ECD-44DA-A235-0A8E5B8B78A4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21</xdr:row>
      <xdr:rowOff>96610</xdr:rowOff>
    </xdr:from>
    <xdr:to>
      <xdr:col>9</xdr:col>
      <xdr:colOff>420461</xdr:colOff>
      <xdr:row>39</xdr:row>
      <xdr:rowOff>134710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DC4A2-AB00-4998-90DE-70D1F5B2E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21</xdr:row>
      <xdr:rowOff>47625</xdr:rowOff>
    </xdr:from>
    <xdr:to>
      <xdr:col>17</xdr:col>
      <xdr:colOff>647699</xdr:colOff>
      <xdr:row>39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D878D4-8C1C-4ECE-BA9A-943C710D9CEC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21</xdr:row>
      <xdr:rowOff>96610</xdr:rowOff>
    </xdr:from>
    <xdr:to>
      <xdr:col>9</xdr:col>
      <xdr:colOff>420461</xdr:colOff>
      <xdr:row>39</xdr:row>
      <xdr:rowOff>134710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2519C-B7A7-42E6-882A-0F25FD51A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21</xdr:row>
      <xdr:rowOff>47625</xdr:rowOff>
    </xdr:from>
    <xdr:to>
      <xdr:col>17</xdr:col>
      <xdr:colOff>647699</xdr:colOff>
      <xdr:row>39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B3904-B714-4335-BC50-93DE8E0A7D4F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18</xdr:row>
      <xdr:rowOff>28575</xdr:rowOff>
    </xdr:from>
    <xdr:to>
      <xdr:col>9</xdr:col>
      <xdr:colOff>447675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61051-CB13-4147-BC40-38E49D89A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18</xdr:row>
      <xdr:rowOff>47625</xdr:rowOff>
    </xdr:from>
    <xdr:to>
      <xdr:col>17</xdr:col>
      <xdr:colOff>647699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C070A-A9F5-4E05-92A2-50929B814DF4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18</xdr:row>
      <xdr:rowOff>28575</xdr:rowOff>
    </xdr:from>
    <xdr:to>
      <xdr:col>9</xdr:col>
      <xdr:colOff>447675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6C301-67F6-4056-9FBC-906AB2366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18</xdr:row>
      <xdr:rowOff>47625</xdr:rowOff>
    </xdr:from>
    <xdr:to>
      <xdr:col>17</xdr:col>
      <xdr:colOff>647699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CC1EC-950A-4BB9-862C-479AA6EDE0A1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18</xdr:row>
      <xdr:rowOff>28575</xdr:rowOff>
    </xdr:from>
    <xdr:to>
      <xdr:col>9</xdr:col>
      <xdr:colOff>447675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DFD27-6456-4390-91FE-32EDA3796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18</xdr:row>
      <xdr:rowOff>47625</xdr:rowOff>
    </xdr:from>
    <xdr:to>
      <xdr:col>17</xdr:col>
      <xdr:colOff>647699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058B8F-FA46-49C0-9F1C-49045591627F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18</xdr:row>
      <xdr:rowOff>28575</xdr:rowOff>
    </xdr:from>
    <xdr:to>
      <xdr:col>9</xdr:col>
      <xdr:colOff>447675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BD69F-81C6-4F28-B89C-B1072008C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533399</xdr:colOff>
      <xdr:row>18</xdr:row>
      <xdr:rowOff>47625</xdr:rowOff>
    </xdr:from>
    <xdr:to>
      <xdr:col>17</xdr:col>
      <xdr:colOff>647699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3C480-9C7B-40A3-9491-E5E3F1466E57}"/>
            </a:ext>
            <a:ext uri="{147F2762-F138-4A5C-976F-8EAC2B608ADB}">
              <a16:predDERef xmlns:a16="http://schemas.microsoft.com/office/drawing/2014/main" pred="{0DAB5B70-AA8E-19C4-BA35-D0DAF42C5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489856</xdr:colOff>
      <xdr:row>15</xdr:row>
      <xdr:rowOff>81643</xdr:rowOff>
    </xdr:from>
    <xdr:to>
      <xdr:col>9</xdr:col>
      <xdr:colOff>748392</xdr:colOff>
      <xdr:row>32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6F634-A12B-45AC-BBA8-708105857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857249</xdr:colOff>
      <xdr:row>15</xdr:row>
      <xdr:rowOff>84363</xdr:rowOff>
    </xdr:from>
    <xdr:to>
      <xdr:col>19</xdr:col>
      <xdr:colOff>95250</xdr:colOff>
      <xdr:row>32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0A0B93-0039-CC7D-80BF-D9DBC1705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489856</xdr:colOff>
      <xdr:row>15</xdr:row>
      <xdr:rowOff>81643</xdr:rowOff>
    </xdr:from>
    <xdr:to>
      <xdr:col>9</xdr:col>
      <xdr:colOff>748392</xdr:colOff>
      <xdr:row>32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39381-06EE-43B9-B8CC-CFA76EC59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857249</xdr:colOff>
      <xdr:row>15</xdr:row>
      <xdr:rowOff>84363</xdr:rowOff>
    </xdr:from>
    <xdr:to>
      <xdr:col>19</xdr:col>
      <xdr:colOff>95250</xdr:colOff>
      <xdr:row>32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42E0B-D680-47B6-9FC6-D7697CB22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489856</xdr:colOff>
      <xdr:row>15</xdr:row>
      <xdr:rowOff>81643</xdr:rowOff>
    </xdr:from>
    <xdr:to>
      <xdr:col>9</xdr:col>
      <xdr:colOff>748392</xdr:colOff>
      <xdr:row>32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1DE0A-91D6-4EE5-8546-E5FCB0DD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857249</xdr:colOff>
      <xdr:row>15</xdr:row>
      <xdr:rowOff>84363</xdr:rowOff>
    </xdr:from>
    <xdr:to>
      <xdr:col>19</xdr:col>
      <xdr:colOff>95250</xdr:colOff>
      <xdr:row>32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44F6C-DC1C-47E9-B667-F14B4C420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489856</xdr:colOff>
      <xdr:row>15</xdr:row>
      <xdr:rowOff>81643</xdr:rowOff>
    </xdr:from>
    <xdr:to>
      <xdr:col>9</xdr:col>
      <xdr:colOff>748392</xdr:colOff>
      <xdr:row>32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9A3DF-1D1D-41CB-85A7-9F02E718D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857249</xdr:colOff>
      <xdr:row>15</xdr:row>
      <xdr:rowOff>84363</xdr:rowOff>
    </xdr:from>
    <xdr:to>
      <xdr:col>19</xdr:col>
      <xdr:colOff>95250</xdr:colOff>
      <xdr:row>32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1F0267-1BFF-4DCE-AEBE-D5E669FC7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3A169D-6C1F-4A92-9628-271C8E6C49BA}" name="Table2" displayName="Table2" ref="A2:I17" totalsRowShown="0" headerRowDxfId="37" dataDxfId="36" tableBorderDxfId="35">
  <autoFilter ref="A2:I17" xr:uid="{C13A169D-6C1F-4A92-9628-271C8E6C49BA}"/>
  <tableColumns count="9">
    <tableColumn id="1" xr3:uid="{25FF4F52-165A-4E8E-8874-8EB977CC26F1}" name="Index Value" dataDxfId="34"/>
    <tableColumn id="2" xr3:uid="{8F98BED1-334F-4B48-AF01-76B847086DE4}" name="Infill Type" dataDxfId="33"/>
    <tableColumn id="3" xr3:uid="{AADC0B96-1D3A-4A56-9AB6-F660D5990C33}" name="Infill Concentration" dataDxfId="32" dataCellStyle="Percent"/>
    <tableColumn id="4" xr3:uid="{32FC5D23-94D7-4ADB-A3CB-740649F0F899}" name="Border number" dataDxfId="31"/>
    <tableColumn id="10" xr3:uid="{49BD2582-8A36-4122-9188-0B541F928AE8}" name="Mass (g)" dataDxfId="30"/>
    <tableColumn id="5" xr3:uid="{C6B3C878-1A84-4809-9539-720A271A1AE6}" name="Ultimate Tensile Strength (kN)" dataDxfId="29"/>
    <tableColumn id="6" xr3:uid="{363E7A46-334C-4954-B64F-A4B03781D3E1}" name="Modulus of Elasticity (MPa)" dataDxfId="28"/>
    <tableColumn id="7" xr3:uid="{8AB1E0C2-CEA6-4E3C-AB26-9F57AF9AE931}" name="Modulus of Resilience (MPa)" dataDxfId="27"/>
    <tableColumn id="8" xr3:uid="{3753CD9A-CAAB-4060-9418-9DD0F7706393}" name="Yield Strength (kN)" dataDxfId="2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6E65E1-0481-4875-8184-8C36DE11B161}" name="Table24" displayName="Table24" ref="A2:I17" totalsRowShown="0" headerRowDxfId="25" dataDxfId="23" headerRowBorderDxfId="24" tableBorderDxfId="22" totalsRowBorderDxfId="21">
  <autoFilter ref="A2:I17" xr:uid="{C13A169D-6C1F-4A92-9628-271C8E6C49BA}"/>
  <tableColumns count="9">
    <tableColumn id="1" xr3:uid="{C77CD7E6-71CE-4701-9E7C-A1DACE719142}" name="Index Value" dataDxfId="20"/>
    <tableColumn id="2" xr3:uid="{1B27C9B9-A52A-4858-A2F5-5B013BAA6796}" name="Infill Type" dataDxfId="19"/>
    <tableColumn id="3" xr3:uid="{FE4CA044-95BA-48D3-A44B-940B477C2AE5}" name="Infill Concentration" dataDxfId="18" dataCellStyle="Percent"/>
    <tableColumn id="4" xr3:uid="{86D1A2C8-0F6A-4457-A834-289E9E20CC8D}" name="Border number" dataDxfId="17"/>
    <tableColumn id="9" xr3:uid="{71452191-0BD8-46CA-902B-A2D0338A9253}" name="Mass (g)" dataDxfId="16"/>
    <tableColumn id="5" xr3:uid="{66FA5384-99FD-4554-94D7-41555BC0AA00}" name="Ultimate Tensile Strength (kN)" dataDxfId="15"/>
    <tableColumn id="6" xr3:uid="{320428E6-359A-4F15-A4A9-57EC5B7222F9}" name="Modulus of Elasticity (MPa)" dataDxfId="14"/>
    <tableColumn id="7" xr3:uid="{549341E4-AEE1-4077-98DC-C74B37D78BAE}" name="Modulus of Resilience (MPa)" dataDxfId="13"/>
    <tableColumn id="8" xr3:uid="{BB9C8A12-B456-411E-90A5-EE4920E5AEDB}" name="Yield Strength (kN)" dataDxfId="1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BAF1A5-0C86-4E6D-9232-888072D9290F}" name="Table245" displayName="Table245" ref="A2:I17" totalsRowShown="0" headerRowDxfId="11" dataDxfId="10" tableBorderDxfId="9">
  <autoFilter ref="A2:I17" xr:uid="{C13A169D-6C1F-4A92-9628-271C8E6C49BA}"/>
  <tableColumns count="9">
    <tableColumn id="1" xr3:uid="{FB54B5C9-8E1C-422C-A205-69299AB709BA}" name="Index Value" dataDxfId="8"/>
    <tableColumn id="2" xr3:uid="{F843BB3D-C7A1-466B-A713-6AB39ACF73FE}" name="Infill Type" dataDxfId="7"/>
    <tableColumn id="3" xr3:uid="{6536003D-5931-45D3-BA74-1EF80F1EA76F}" name="Infill Concentration" dataDxfId="6" dataCellStyle="Percent"/>
    <tableColumn id="4" xr3:uid="{492750DA-5F91-4E7B-9E8F-262C217F3F9C}" name="Border number" dataDxfId="5"/>
    <tableColumn id="9" xr3:uid="{9C915163-BEB5-4286-89E0-211CBF74D957}" name="Mass (g)" dataDxfId="4"/>
    <tableColumn id="5" xr3:uid="{BD4B3F64-3599-42AF-9BBA-F883A77D133A}" name="Ultimate Tensile Strength (kN)" dataDxfId="3"/>
    <tableColumn id="6" xr3:uid="{2511B207-6169-4173-82DE-A3801B4BD04F}" name="Modulus of Elasticity (MPa)" dataDxfId="2"/>
    <tableColumn id="7" xr3:uid="{40E02C9A-9ACA-4B11-B2D4-1361E2572887}" name="Modulus of Resilience (MPa)" dataDxfId="1"/>
    <tableColumn id="8" xr3:uid="{BBFEFDA5-7BBD-4974-BFD0-A8F3EFFAA6F7}" name="Yield Strength (kN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A77D-68C8-4D54-ACDA-D6613D901A36}">
  <dimension ref="A1:M32"/>
  <sheetViews>
    <sheetView workbookViewId="0">
      <selection activeCell="I2" sqref="I2:I17"/>
    </sheetView>
  </sheetViews>
  <sheetFormatPr defaultRowHeight="15" x14ac:dyDescent="0.2"/>
  <cols>
    <col min="1" max="1" width="7.3984375" bestFit="1" customWidth="1"/>
    <col min="2" max="2" width="6.58984375" bestFit="1" customWidth="1"/>
    <col min="3" max="3" width="15.46875" bestFit="1" customWidth="1"/>
    <col min="4" max="4" width="14.390625" style="1" customWidth="1"/>
    <col min="5" max="5" width="14.390625" style="10" customWidth="1"/>
    <col min="6" max="8" width="13.5859375" style="1" customWidth="1"/>
    <col min="9" max="9" width="13.5859375" customWidth="1"/>
    <col min="10" max="13" width="11.296875" bestFit="1" customWidth="1"/>
  </cols>
  <sheetData>
    <row r="1" spans="1:13" x14ac:dyDescent="0.2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6" t="s">
        <v>1</v>
      </c>
      <c r="K1" s="117"/>
      <c r="L1" s="117"/>
      <c r="M1" s="118"/>
    </row>
    <row r="2" spans="1:13" s="1" customFormat="1" ht="54.75" x14ac:dyDescent="0.2">
      <c r="A2" s="58" t="s">
        <v>2</v>
      </c>
      <c r="B2" s="59" t="s">
        <v>3</v>
      </c>
      <c r="C2" s="59" t="s">
        <v>4</v>
      </c>
      <c r="D2" s="59" t="s">
        <v>5</v>
      </c>
      <c r="E2" s="60" t="s">
        <v>6</v>
      </c>
      <c r="F2" s="59" t="s">
        <v>7</v>
      </c>
      <c r="G2" s="59" t="s">
        <v>8</v>
      </c>
      <c r="H2" s="59" t="s">
        <v>9</v>
      </c>
      <c r="I2" s="61" t="s">
        <v>10</v>
      </c>
      <c r="J2" s="62" t="s">
        <v>11</v>
      </c>
      <c r="K2" s="63" t="s">
        <v>12</v>
      </c>
      <c r="L2" s="63" t="s">
        <v>13</v>
      </c>
      <c r="M2" s="64" t="s">
        <v>14</v>
      </c>
    </row>
    <row r="3" spans="1:13" x14ac:dyDescent="0.2">
      <c r="A3" s="50">
        <v>1</v>
      </c>
      <c r="B3" s="3" t="s">
        <v>15</v>
      </c>
      <c r="C3" s="4">
        <v>1</v>
      </c>
      <c r="D3" s="5" t="s">
        <v>16</v>
      </c>
      <c r="E3" s="8">
        <v>61.3</v>
      </c>
      <c r="F3" s="11">
        <v>6.6299000000000001</v>
      </c>
      <c r="G3" s="7">
        <v>823.48</v>
      </c>
      <c r="H3" s="32">
        <v>0.23499999999999999</v>
      </c>
      <c r="I3" s="77">
        <v>3.4478</v>
      </c>
      <c r="J3" s="65">
        <f>Table2[[#This Row],[Ultimate Tensile Strength (kN)]]/Table2[[#This Row],[Mass (g)]]</f>
        <v>0.10815497553017946</v>
      </c>
      <c r="K3" s="66">
        <f>Table2[[#This Row],[Modulus of Elasticity (MPa)]]/Table2[[#This Row],[Mass (g)]]</f>
        <v>13.433605220228387</v>
      </c>
      <c r="L3" s="66">
        <f>Table2[[#This Row],[Modulus of Resilience (MPa)]]/Table2[[#This Row],[Mass (g)]]</f>
        <v>3.8336052202283849E-3</v>
      </c>
      <c r="M3" s="67">
        <f>Table2[[#This Row],[Yield Strength (kN)]]/Table2[[#This Row],[Mass (g)]]</f>
        <v>5.6244698205546492E-2</v>
      </c>
    </row>
    <row r="4" spans="1:13" x14ac:dyDescent="0.2">
      <c r="A4" s="50">
        <v>2</v>
      </c>
      <c r="B4" s="3" t="s">
        <v>15</v>
      </c>
      <c r="C4" s="4">
        <v>0</v>
      </c>
      <c r="D4" s="7">
        <v>2</v>
      </c>
      <c r="E4" s="9">
        <v>20</v>
      </c>
      <c r="F4" s="6">
        <v>1.6811</v>
      </c>
      <c r="G4" s="7">
        <v>268.27</v>
      </c>
      <c r="H4" s="32">
        <v>2.93E-2</v>
      </c>
      <c r="I4" s="77">
        <v>0.68210000000000004</v>
      </c>
      <c r="J4" s="68">
        <f>Table2[[#This Row],[Ultimate Tensile Strength (kN)]]/Table2[[#This Row],[Mass (g)]]</f>
        <v>8.4055000000000005E-2</v>
      </c>
      <c r="K4" s="69">
        <f>Table2[[#This Row],[Modulus of Elasticity (MPa)]]/Table2[[#This Row],[Mass (g)]]</f>
        <v>13.413499999999999</v>
      </c>
      <c r="L4" s="69">
        <f>Table2[[#This Row],[Modulus of Resilience (MPa)]]/Table2[[#This Row],[Mass (g)]]</f>
        <v>1.4649999999999999E-3</v>
      </c>
      <c r="M4" s="70">
        <f>Table2[[#This Row],[Yield Strength (kN)]]/Table2[[#This Row],[Mass (g)]]</f>
        <v>3.4105000000000003E-2</v>
      </c>
    </row>
    <row r="5" spans="1:13" x14ac:dyDescent="0.2">
      <c r="A5" s="50">
        <v>3</v>
      </c>
      <c r="B5" s="3" t="s">
        <v>15</v>
      </c>
      <c r="C5" s="4">
        <v>0</v>
      </c>
      <c r="D5" s="7">
        <v>3</v>
      </c>
      <c r="E5" s="9">
        <v>25.5</v>
      </c>
      <c r="F5" s="6">
        <v>2.8111999999999999</v>
      </c>
      <c r="G5" s="7">
        <v>388.75</v>
      </c>
      <c r="H5" s="32">
        <v>3.2300000000000002E-2</v>
      </c>
      <c r="I5" s="77">
        <v>0.85670000000000002</v>
      </c>
      <c r="J5" s="68">
        <f>Table2[[#This Row],[Ultimate Tensile Strength (kN)]]/Table2[[#This Row],[Mass (g)]]</f>
        <v>0.11024313725490195</v>
      </c>
      <c r="K5" s="69">
        <f>Table2[[#This Row],[Modulus of Elasticity (MPa)]]/Table2[[#This Row],[Mass (g)]]</f>
        <v>15.245098039215685</v>
      </c>
      <c r="L5" s="69">
        <f>Table2[[#This Row],[Modulus of Resilience (MPa)]]/Table2[[#This Row],[Mass (g)]]</f>
        <v>1.2666666666666668E-3</v>
      </c>
      <c r="M5" s="70">
        <f>Table2[[#This Row],[Yield Strength (kN)]]/Table2[[#This Row],[Mass (g)]]</f>
        <v>3.359607843137255E-2</v>
      </c>
    </row>
    <row r="6" spans="1:13" x14ac:dyDescent="0.2">
      <c r="A6" s="50">
        <v>4</v>
      </c>
      <c r="B6" s="3" t="s">
        <v>17</v>
      </c>
      <c r="C6" s="4">
        <v>0.1</v>
      </c>
      <c r="D6" s="7">
        <v>2</v>
      </c>
      <c r="E6" s="9">
        <v>19.2</v>
      </c>
      <c r="F6" s="6">
        <v>1.335</v>
      </c>
      <c r="G6" s="7">
        <v>205.66</v>
      </c>
      <c r="H6" s="32">
        <v>2.07E-2</v>
      </c>
      <c r="I6" s="77">
        <v>0.50519999999999998</v>
      </c>
      <c r="J6" s="68">
        <f>Table2[[#This Row],[Ultimate Tensile Strength (kN)]]/Table2[[#This Row],[Mass (g)]]</f>
        <v>6.9531250000000003E-2</v>
      </c>
      <c r="K6" s="69">
        <f>Table2[[#This Row],[Modulus of Elasticity (MPa)]]/Table2[[#This Row],[Mass (g)]]</f>
        <v>10.711458333333333</v>
      </c>
      <c r="L6" s="69">
        <f>Table2[[#This Row],[Modulus of Resilience (MPa)]]/Table2[[#This Row],[Mass (g)]]</f>
        <v>1.0781250000000001E-3</v>
      </c>
      <c r="M6" s="70">
        <f>Table2[[#This Row],[Yield Strength (kN)]]/Table2[[#This Row],[Mass (g)]]</f>
        <v>2.6312499999999999E-2</v>
      </c>
    </row>
    <row r="7" spans="1:13" x14ac:dyDescent="0.2">
      <c r="A7" s="50">
        <v>5</v>
      </c>
      <c r="B7" s="3" t="s">
        <v>17</v>
      </c>
      <c r="C7" s="4">
        <v>0.25</v>
      </c>
      <c r="D7" s="7">
        <v>2</v>
      </c>
      <c r="E7" s="9">
        <v>26</v>
      </c>
      <c r="F7" s="6">
        <v>1.4450000000000001</v>
      </c>
      <c r="G7" s="7">
        <v>201.67</v>
      </c>
      <c r="H7" s="32">
        <v>6.0999999999999999E-2</v>
      </c>
      <c r="I7" s="77">
        <v>0.88429999999999997</v>
      </c>
      <c r="J7" s="68">
        <f>Table2[[#This Row],[Ultimate Tensile Strength (kN)]]/Table2[[#This Row],[Mass (g)]]</f>
        <v>5.5576923076923079E-2</v>
      </c>
      <c r="K7" s="69">
        <f>Table2[[#This Row],[Modulus of Elasticity (MPa)]]/Table2[[#This Row],[Mass (g)]]</f>
        <v>7.7565384615384607</v>
      </c>
      <c r="L7" s="69">
        <f>Table2[[#This Row],[Modulus of Resilience (MPa)]]/Table2[[#This Row],[Mass (g)]]</f>
        <v>2.3461538461538459E-3</v>
      </c>
      <c r="M7" s="70">
        <f>Table2[[#This Row],[Yield Strength (kN)]]/Table2[[#This Row],[Mass (g)]]</f>
        <v>3.4011538461538461E-2</v>
      </c>
    </row>
    <row r="8" spans="1:13" x14ac:dyDescent="0.2">
      <c r="A8" s="50">
        <v>6</v>
      </c>
      <c r="B8" s="3" t="s">
        <v>18</v>
      </c>
      <c r="C8" s="4">
        <v>0.1</v>
      </c>
      <c r="D8" s="7">
        <v>2</v>
      </c>
      <c r="E8" s="9">
        <v>19</v>
      </c>
      <c r="F8" s="6">
        <v>1.4693000000000001</v>
      </c>
      <c r="G8" s="7">
        <v>227.06</v>
      </c>
      <c r="H8" s="32">
        <v>1.61E-2</v>
      </c>
      <c r="I8" s="77">
        <v>0.4627</v>
      </c>
      <c r="J8" s="68">
        <f>Table2[[#This Row],[Ultimate Tensile Strength (kN)]]/Table2[[#This Row],[Mass (g)]]</f>
        <v>7.7331578947368418E-2</v>
      </c>
      <c r="K8" s="69">
        <f>Table2[[#This Row],[Modulus of Elasticity (MPa)]]/Table2[[#This Row],[Mass (g)]]</f>
        <v>11.950526315789475</v>
      </c>
      <c r="L8" s="69">
        <f>Table2[[#This Row],[Modulus of Resilience (MPa)]]/Table2[[#This Row],[Mass (g)]]</f>
        <v>8.473684210526316E-4</v>
      </c>
      <c r="M8" s="70">
        <f>Table2[[#This Row],[Yield Strength (kN)]]/Table2[[#This Row],[Mass (g)]]</f>
        <v>2.4352631578947369E-2</v>
      </c>
    </row>
    <row r="9" spans="1:13" x14ac:dyDescent="0.2">
      <c r="A9" s="50">
        <v>7</v>
      </c>
      <c r="B9" s="3" t="s">
        <v>18</v>
      </c>
      <c r="C9" s="4">
        <v>0.25</v>
      </c>
      <c r="D9" s="7">
        <v>2</v>
      </c>
      <c r="E9" s="9">
        <v>26.1</v>
      </c>
      <c r="F9" s="6">
        <v>1.8183</v>
      </c>
      <c r="G9" s="7">
        <v>250.75</v>
      </c>
      <c r="H9" s="32">
        <v>8.9300000000000004E-2</v>
      </c>
      <c r="I9" s="77">
        <v>1.1915</v>
      </c>
      <c r="J9" s="68">
        <f>Table2[[#This Row],[Ultimate Tensile Strength (kN)]]/Table2[[#This Row],[Mass (g)]]</f>
        <v>6.9666666666666668E-2</v>
      </c>
      <c r="K9" s="69">
        <f>Table2[[#This Row],[Modulus of Elasticity (MPa)]]/Table2[[#This Row],[Mass (g)]]</f>
        <v>9.6072796934865892</v>
      </c>
      <c r="L9" s="69">
        <f>Table2[[#This Row],[Modulus of Resilience (MPa)]]/Table2[[#This Row],[Mass (g)]]</f>
        <v>3.4214559386973181E-3</v>
      </c>
      <c r="M9" s="70">
        <f>Table2[[#This Row],[Yield Strength (kN)]]/Table2[[#This Row],[Mass (g)]]</f>
        <v>4.5651340996168577E-2</v>
      </c>
    </row>
    <row r="10" spans="1:13" x14ac:dyDescent="0.2">
      <c r="A10" s="50">
        <v>8</v>
      </c>
      <c r="B10" s="3" t="s">
        <v>19</v>
      </c>
      <c r="C10" s="4">
        <v>0.1</v>
      </c>
      <c r="D10" s="7">
        <v>2</v>
      </c>
      <c r="E10" s="9">
        <v>19</v>
      </c>
      <c r="F10" s="6">
        <v>1.4342999999999999</v>
      </c>
      <c r="G10" s="7">
        <v>190.34</v>
      </c>
      <c r="H10" s="32">
        <v>5.8700000000000002E-2</v>
      </c>
      <c r="I10" s="77">
        <v>0.8357</v>
      </c>
      <c r="J10" s="68">
        <f>Table2[[#This Row],[Ultimate Tensile Strength (kN)]]/Table2[[#This Row],[Mass (g)]]</f>
        <v>7.5489473684210523E-2</v>
      </c>
      <c r="K10" s="69">
        <f>Table2[[#This Row],[Modulus of Elasticity (MPa)]]/Table2[[#This Row],[Mass (g)]]</f>
        <v>10.017894736842106</v>
      </c>
      <c r="L10" s="69">
        <f>Table2[[#This Row],[Modulus of Resilience (MPa)]]/Table2[[#This Row],[Mass (g)]]</f>
        <v>3.0894736842105265E-3</v>
      </c>
      <c r="M10" s="70">
        <f>Table2[[#This Row],[Yield Strength (kN)]]/Table2[[#This Row],[Mass (g)]]</f>
        <v>4.3984210526315792E-2</v>
      </c>
    </row>
    <row r="11" spans="1:13" x14ac:dyDescent="0.2">
      <c r="A11" s="50">
        <v>9</v>
      </c>
      <c r="B11" s="3" t="s">
        <v>19</v>
      </c>
      <c r="C11" s="4">
        <v>0.25</v>
      </c>
      <c r="D11" s="7">
        <v>2</v>
      </c>
      <c r="E11" s="9">
        <v>25.6</v>
      </c>
      <c r="F11" s="6">
        <v>1.5629</v>
      </c>
      <c r="G11" s="7">
        <v>238.64</v>
      </c>
      <c r="H11" s="32">
        <v>2.5600000000000001E-2</v>
      </c>
      <c r="I11" s="77">
        <v>0.60750000000000004</v>
      </c>
      <c r="J11" s="68">
        <f>Table2[[#This Row],[Ultimate Tensile Strength (kN)]]/Table2[[#This Row],[Mass (g)]]</f>
        <v>6.1050781249999998E-2</v>
      </c>
      <c r="K11" s="69">
        <f>Table2[[#This Row],[Modulus of Elasticity (MPa)]]/Table2[[#This Row],[Mass (g)]]</f>
        <v>9.3218749999999986</v>
      </c>
      <c r="L11" s="69">
        <f>Table2[[#This Row],[Modulus of Resilience (MPa)]]/Table2[[#This Row],[Mass (g)]]</f>
        <v>1E-3</v>
      </c>
      <c r="M11" s="70">
        <f>Table2[[#This Row],[Yield Strength (kN)]]/Table2[[#This Row],[Mass (g)]]</f>
        <v>2.3730468750000001E-2</v>
      </c>
    </row>
    <row r="12" spans="1:13" x14ac:dyDescent="0.2">
      <c r="A12" s="50">
        <v>10</v>
      </c>
      <c r="B12" s="3" t="s">
        <v>17</v>
      </c>
      <c r="C12" s="4">
        <v>0.1</v>
      </c>
      <c r="D12" s="7">
        <v>3</v>
      </c>
      <c r="E12" s="9">
        <v>24.5</v>
      </c>
      <c r="F12" s="6">
        <v>1.8508</v>
      </c>
      <c r="G12" s="7">
        <v>252.92</v>
      </c>
      <c r="H12" s="32">
        <v>7.9100000000000004E-2</v>
      </c>
      <c r="I12" s="77">
        <v>1.1189</v>
      </c>
      <c r="J12" s="68">
        <f>Table2[[#This Row],[Ultimate Tensile Strength (kN)]]/Table2[[#This Row],[Mass (g)]]</f>
        <v>7.5542857142857148E-2</v>
      </c>
      <c r="K12" s="69">
        <f>Table2[[#This Row],[Modulus of Elasticity (MPa)]]/Table2[[#This Row],[Mass (g)]]</f>
        <v>10.323265306122449</v>
      </c>
      <c r="L12" s="69">
        <f>Table2[[#This Row],[Modulus of Resilience (MPa)]]/Table2[[#This Row],[Mass (g)]]</f>
        <v>3.2285714285714287E-3</v>
      </c>
      <c r="M12" s="70">
        <f>Table2[[#This Row],[Yield Strength (kN)]]/Table2[[#This Row],[Mass (g)]]</f>
        <v>4.5669387755102042E-2</v>
      </c>
    </row>
    <row r="13" spans="1:13" x14ac:dyDescent="0.2">
      <c r="A13" s="50">
        <v>11</v>
      </c>
      <c r="B13" s="3" t="s">
        <v>17</v>
      </c>
      <c r="C13" s="4">
        <v>0.25</v>
      </c>
      <c r="D13" s="7">
        <v>3</v>
      </c>
      <c r="E13" s="9">
        <v>30.8</v>
      </c>
      <c r="F13" s="6">
        <v>2.1374</v>
      </c>
      <c r="G13" s="7">
        <v>276.22000000000003</v>
      </c>
      <c r="H13" s="32">
        <v>0.13070000000000001</v>
      </c>
      <c r="I13" s="77">
        <v>1.518</v>
      </c>
      <c r="J13" s="68">
        <f>Table2[[#This Row],[Ultimate Tensile Strength (kN)]]/Table2[[#This Row],[Mass (g)]]</f>
        <v>6.93961038961039E-2</v>
      </c>
      <c r="K13" s="69">
        <f>Table2[[#This Row],[Modulus of Elasticity (MPa)]]/Table2[[#This Row],[Mass (g)]]</f>
        <v>8.9681818181818187</v>
      </c>
      <c r="L13" s="69">
        <f>Table2[[#This Row],[Modulus of Resilience (MPa)]]/Table2[[#This Row],[Mass (g)]]</f>
        <v>4.2435064935064937E-3</v>
      </c>
      <c r="M13" s="70">
        <f>Table2[[#This Row],[Yield Strength (kN)]]/Table2[[#This Row],[Mass (g)]]</f>
        <v>4.9285714285714287E-2</v>
      </c>
    </row>
    <row r="14" spans="1:13" x14ac:dyDescent="0.2">
      <c r="A14" s="50">
        <v>12</v>
      </c>
      <c r="B14" s="3" t="s">
        <v>18</v>
      </c>
      <c r="C14" s="4">
        <v>0.1</v>
      </c>
      <c r="D14" s="7">
        <v>3</v>
      </c>
      <c r="E14" s="9">
        <v>24.6</v>
      </c>
      <c r="F14" s="6">
        <v>2.0701999999999998</v>
      </c>
      <c r="G14" s="7">
        <v>318.51</v>
      </c>
      <c r="H14" s="32">
        <v>2.0199999999999999E-2</v>
      </c>
      <c r="I14" s="77">
        <v>0.60750000000000004</v>
      </c>
      <c r="J14" s="68">
        <f>Table2[[#This Row],[Ultimate Tensile Strength (kN)]]/Table2[[#This Row],[Mass (g)]]</f>
        <v>8.4154471544715434E-2</v>
      </c>
      <c r="K14" s="69">
        <f>Table2[[#This Row],[Modulus of Elasticity (MPa)]]/Table2[[#This Row],[Mass (g)]]</f>
        <v>12.947560975609756</v>
      </c>
      <c r="L14" s="69">
        <f>Table2[[#This Row],[Modulus of Resilience (MPa)]]/Table2[[#This Row],[Mass (g)]]</f>
        <v>8.2113821138211376E-4</v>
      </c>
      <c r="M14" s="70">
        <f>Table2[[#This Row],[Yield Strength (kN)]]/Table2[[#This Row],[Mass (g)]]</f>
        <v>2.4695121951219513E-2</v>
      </c>
    </row>
    <row r="15" spans="1:13" x14ac:dyDescent="0.2">
      <c r="A15" s="50">
        <v>13</v>
      </c>
      <c r="B15" s="3" t="s">
        <v>18</v>
      </c>
      <c r="C15" s="4">
        <v>0.25</v>
      </c>
      <c r="D15" s="7">
        <v>3</v>
      </c>
      <c r="E15" s="9">
        <v>30.8</v>
      </c>
      <c r="F15" s="6">
        <v>2.3704999999999998</v>
      </c>
      <c r="G15" s="7">
        <v>326.7</v>
      </c>
      <c r="H15" s="32">
        <v>0.1067</v>
      </c>
      <c r="I15" s="77">
        <v>1.4839</v>
      </c>
      <c r="J15" s="68">
        <f>Table2[[#This Row],[Ultimate Tensile Strength (kN)]]/Table2[[#This Row],[Mass (g)]]</f>
        <v>7.6964285714285707E-2</v>
      </c>
      <c r="K15" s="69">
        <f>Table2[[#This Row],[Modulus of Elasticity (MPa)]]/Table2[[#This Row],[Mass (g)]]</f>
        <v>10.607142857142856</v>
      </c>
      <c r="L15" s="69">
        <f>Table2[[#This Row],[Modulus of Resilience (MPa)]]/Table2[[#This Row],[Mass (g)]]</f>
        <v>3.4642857142857145E-3</v>
      </c>
      <c r="M15" s="70">
        <f>Table2[[#This Row],[Yield Strength (kN)]]/Table2[[#This Row],[Mass (g)]]</f>
        <v>4.8178571428571425E-2</v>
      </c>
    </row>
    <row r="16" spans="1:13" x14ac:dyDescent="0.2">
      <c r="A16" s="50">
        <v>14</v>
      </c>
      <c r="B16" s="3" t="s">
        <v>19</v>
      </c>
      <c r="C16" s="4">
        <v>0.1</v>
      </c>
      <c r="D16" s="7">
        <v>3</v>
      </c>
      <c r="E16" s="9">
        <v>24.6</v>
      </c>
      <c r="F16" s="6">
        <v>1.8688</v>
      </c>
      <c r="G16" s="7">
        <v>277.42</v>
      </c>
      <c r="H16" s="32">
        <v>3.9199999999999999E-2</v>
      </c>
      <c r="I16" s="77">
        <v>0.81379999999999997</v>
      </c>
      <c r="J16" s="68">
        <f>Table2[[#This Row],[Ultimate Tensile Strength (kN)]]/Table2[[#This Row],[Mass (g)]]</f>
        <v>7.5967479674796751E-2</v>
      </c>
      <c r="K16" s="69">
        <f>Table2[[#This Row],[Modulus of Elasticity (MPa)]]/Table2[[#This Row],[Mass (g)]]</f>
        <v>11.277235772357724</v>
      </c>
      <c r="L16" s="69">
        <f>Table2[[#This Row],[Modulus of Resilience (MPa)]]/Table2[[#This Row],[Mass (g)]]</f>
        <v>1.5934959349593494E-3</v>
      </c>
      <c r="M16" s="70">
        <f>Table2[[#This Row],[Yield Strength (kN)]]/Table2[[#This Row],[Mass (g)]]</f>
        <v>3.3081300813008127E-2</v>
      </c>
    </row>
    <row r="17" spans="1:13" x14ac:dyDescent="0.2">
      <c r="A17" s="51">
        <v>15</v>
      </c>
      <c r="B17" s="19" t="s">
        <v>19</v>
      </c>
      <c r="C17" s="20">
        <v>0.25</v>
      </c>
      <c r="D17" s="21">
        <v>3</v>
      </c>
      <c r="E17" s="22">
        <v>30.4</v>
      </c>
      <c r="F17" s="23">
        <v>2.1360999999999999</v>
      </c>
      <c r="G17" s="21">
        <v>285.92</v>
      </c>
      <c r="H17" s="33">
        <v>9.69E-2</v>
      </c>
      <c r="I17" s="78">
        <v>1.3223</v>
      </c>
      <c r="J17" s="71">
        <f>Table2[[#This Row],[Ultimate Tensile Strength (kN)]]/Table2[[#This Row],[Mass (g)]]</f>
        <v>7.0266447368421053E-2</v>
      </c>
      <c r="K17" s="72">
        <f>Table2[[#This Row],[Modulus of Elasticity (MPa)]]/Table2[[#This Row],[Mass (g)]]</f>
        <v>9.405263157894737</v>
      </c>
      <c r="L17" s="72">
        <f>Table2[[#This Row],[Modulus of Resilience (MPa)]]/Table2[[#This Row],[Mass (g)]]</f>
        <v>3.1875000000000002E-3</v>
      </c>
      <c r="M17" s="73">
        <f>Table2[[#This Row],[Yield Strength (kN)]]/Table2[[#This Row],[Mass (g)]]</f>
        <v>4.349671052631579E-2</v>
      </c>
    </row>
    <row r="18" spans="1:13" x14ac:dyDescent="0.2">
      <c r="A18" s="119" t="s">
        <v>20</v>
      </c>
      <c r="B18" s="120"/>
      <c r="C18" s="120"/>
      <c r="D18" s="120"/>
      <c r="E18" s="120"/>
      <c r="F18" s="120"/>
      <c r="G18" s="120"/>
      <c r="H18" s="120"/>
      <c r="I18" s="120"/>
      <c r="J18" s="41"/>
      <c r="K18" s="38"/>
      <c r="L18" s="38"/>
      <c r="M18" s="39"/>
    </row>
    <row r="19" spans="1:13" s="2" customFormat="1" ht="54.75" x14ac:dyDescent="0.2">
      <c r="A19" s="52"/>
      <c r="B19" s="16" t="s">
        <v>3</v>
      </c>
      <c r="C19" s="106" t="s">
        <v>21</v>
      </c>
      <c r="D19" s="111"/>
      <c r="E19" s="17" t="s">
        <v>6</v>
      </c>
      <c r="F19" s="12" t="s">
        <v>7</v>
      </c>
      <c r="G19" s="12" t="s">
        <v>22</v>
      </c>
      <c r="H19" s="12" t="s">
        <v>23</v>
      </c>
      <c r="I19" s="13" t="s">
        <v>10</v>
      </c>
      <c r="J19" s="26" t="s">
        <v>11</v>
      </c>
      <c r="K19" s="24" t="s">
        <v>12</v>
      </c>
      <c r="L19" s="24" t="s">
        <v>13</v>
      </c>
      <c r="M19" s="25" t="s">
        <v>14</v>
      </c>
    </row>
    <row r="20" spans="1:13" x14ac:dyDescent="0.2">
      <c r="A20" s="54"/>
      <c r="B20" s="46" t="s">
        <v>17</v>
      </c>
      <c r="C20" s="108"/>
      <c r="D20" s="112"/>
      <c r="E20" s="9">
        <f t="shared" ref="E20:M20" si="0">(SUM(E6:E7)+SUM(E12:E13))/4</f>
        <v>25.125</v>
      </c>
      <c r="F20" s="6">
        <f t="shared" si="0"/>
        <v>1.6920500000000001</v>
      </c>
      <c r="G20" s="6">
        <f t="shared" si="0"/>
        <v>234.11750000000001</v>
      </c>
      <c r="H20" s="30">
        <f t="shared" si="0"/>
        <v>7.2874999999999995E-2</v>
      </c>
      <c r="I20" s="34">
        <f t="shared" si="0"/>
        <v>1.0065999999999999</v>
      </c>
      <c r="J20" s="74">
        <f t="shared" si="0"/>
        <v>6.7511783528971026E-2</v>
      </c>
      <c r="K20" s="30">
        <f t="shared" si="0"/>
        <v>9.4398609797940161</v>
      </c>
      <c r="L20" s="30">
        <f t="shared" si="0"/>
        <v>2.7240891920579423E-3</v>
      </c>
      <c r="M20" s="34">
        <f t="shared" si="0"/>
        <v>3.8819785125588702E-2</v>
      </c>
    </row>
    <row r="21" spans="1:13" x14ac:dyDescent="0.2">
      <c r="A21" s="54"/>
      <c r="B21" s="46" t="s">
        <v>18</v>
      </c>
      <c r="C21" s="108"/>
      <c r="D21" s="112"/>
      <c r="E21" s="9">
        <f t="shared" ref="E21:M21" si="1">(E8+E9+E14+E15)/4</f>
        <v>25.125</v>
      </c>
      <c r="F21" s="6">
        <f t="shared" si="1"/>
        <v>1.932075</v>
      </c>
      <c r="G21" s="6">
        <f t="shared" si="1"/>
        <v>280.755</v>
      </c>
      <c r="H21" s="30">
        <f t="shared" si="1"/>
        <v>5.8075000000000002E-2</v>
      </c>
      <c r="I21" s="34">
        <f t="shared" si="1"/>
        <v>0.9363999999999999</v>
      </c>
      <c r="J21" s="74">
        <f t="shared" si="1"/>
        <v>7.7029250718259057E-2</v>
      </c>
      <c r="K21" s="30">
        <f t="shared" si="1"/>
        <v>11.278127460507168</v>
      </c>
      <c r="L21" s="30">
        <f t="shared" si="1"/>
        <v>2.1385620713544446E-3</v>
      </c>
      <c r="M21" s="34">
        <f t="shared" si="1"/>
        <v>3.5719416488726723E-2</v>
      </c>
    </row>
    <row r="22" spans="1:13" x14ac:dyDescent="0.2">
      <c r="A22" s="56"/>
      <c r="B22" s="49" t="s">
        <v>19</v>
      </c>
      <c r="C22" s="110"/>
      <c r="D22" s="113"/>
      <c r="E22" s="14">
        <f t="shared" ref="E22:M22" si="2">(E10+E11+E16+E17)/4</f>
        <v>24.9</v>
      </c>
      <c r="F22" s="15">
        <f t="shared" si="2"/>
        <v>1.7505249999999999</v>
      </c>
      <c r="G22" s="15">
        <f t="shared" si="2"/>
        <v>248.08000000000004</v>
      </c>
      <c r="H22" s="36">
        <f t="shared" si="2"/>
        <v>5.5099999999999996E-2</v>
      </c>
      <c r="I22" s="37">
        <f t="shared" si="2"/>
        <v>0.89482499999999998</v>
      </c>
      <c r="J22" s="75">
        <f t="shared" si="2"/>
        <v>7.069354549435708E-2</v>
      </c>
      <c r="K22" s="31">
        <f t="shared" si="2"/>
        <v>10.005567166773641</v>
      </c>
      <c r="L22" s="31">
        <f t="shared" si="2"/>
        <v>2.2176174047924694E-3</v>
      </c>
      <c r="M22" s="35">
        <f t="shared" si="2"/>
        <v>3.6073172653909927E-2</v>
      </c>
    </row>
    <row r="23" spans="1:13" x14ac:dyDescent="0.2">
      <c r="A23" s="121" t="s">
        <v>24</v>
      </c>
      <c r="B23" s="122"/>
      <c r="C23" s="122"/>
      <c r="D23" s="122"/>
      <c r="E23" s="122"/>
      <c r="F23" s="122"/>
      <c r="G23" s="122"/>
      <c r="H23" s="122"/>
      <c r="I23" s="122"/>
      <c r="J23" s="41"/>
      <c r="K23" s="38"/>
      <c r="L23" s="38"/>
      <c r="M23" s="39"/>
    </row>
    <row r="24" spans="1:13" ht="54.75" x14ac:dyDescent="0.2">
      <c r="A24" s="52"/>
      <c r="B24" s="53"/>
      <c r="C24" s="16" t="s">
        <v>4</v>
      </c>
      <c r="D24" s="111" t="s">
        <v>25</v>
      </c>
      <c r="E24" s="17" t="s">
        <v>6</v>
      </c>
      <c r="F24" s="12" t="s">
        <v>7</v>
      </c>
      <c r="G24" s="12" t="s">
        <v>22</v>
      </c>
      <c r="H24" s="12" t="s">
        <v>23</v>
      </c>
      <c r="I24" s="13" t="s">
        <v>10</v>
      </c>
      <c r="J24" s="26" t="s">
        <v>7</v>
      </c>
      <c r="K24" s="24" t="s">
        <v>22</v>
      </c>
      <c r="L24" s="24" t="s">
        <v>23</v>
      </c>
      <c r="M24" s="25" t="s">
        <v>26</v>
      </c>
    </row>
    <row r="25" spans="1:13" x14ac:dyDescent="0.2">
      <c r="A25" s="54"/>
      <c r="B25" s="55"/>
      <c r="C25" s="47">
        <v>0</v>
      </c>
      <c r="D25" s="112"/>
      <c r="E25" s="9">
        <f t="shared" ref="E25:M25" si="3">(SUM(E4:E5))/2</f>
        <v>22.75</v>
      </c>
      <c r="F25" s="6">
        <f t="shared" si="3"/>
        <v>2.2461500000000001</v>
      </c>
      <c r="G25" s="6">
        <f t="shared" si="3"/>
        <v>328.51</v>
      </c>
      <c r="H25" s="30">
        <f t="shared" si="3"/>
        <v>3.0800000000000001E-2</v>
      </c>
      <c r="I25" s="34">
        <f t="shared" si="3"/>
        <v>0.76940000000000008</v>
      </c>
      <c r="J25" s="74">
        <f t="shared" si="3"/>
        <v>9.7149068627450985E-2</v>
      </c>
      <c r="K25" s="30">
        <f t="shared" si="3"/>
        <v>14.329299019607841</v>
      </c>
      <c r="L25" s="30">
        <f t="shared" si="3"/>
        <v>1.3658333333333335E-3</v>
      </c>
      <c r="M25" s="34">
        <f t="shared" si="3"/>
        <v>3.3850539215686273E-2</v>
      </c>
    </row>
    <row r="26" spans="1:13" x14ac:dyDescent="0.2">
      <c r="A26" s="54"/>
      <c r="B26" s="55"/>
      <c r="C26" s="47">
        <v>0.1</v>
      </c>
      <c r="D26" s="112"/>
      <c r="E26" s="9">
        <f t="shared" ref="E26" si="4">(E6+E8+E10+E12+E14+E16)/6</f>
        <v>21.816666666666666</v>
      </c>
      <c r="F26" s="6">
        <f t="shared" ref="F26:I27" si="5">(F6+F8+F10+F12+F14+F16)/6</f>
        <v>1.6714</v>
      </c>
      <c r="G26" s="6">
        <f t="shared" si="5"/>
        <v>245.31833333333336</v>
      </c>
      <c r="H26" s="30">
        <f t="shared" si="5"/>
        <v>3.9E-2</v>
      </c>
      <c r="I26" s="34">
        <f t="shared" si="5"/>
        <v>0.72396666666666665</v>
      </c>
      <c r="J26" s="74">
        <f t="shared" ref="J26:M26" si="6">(J6+J8+J10+J12+J14+J16)/6</f>
        <v>7.6336185165658044E-2</v>
      </c>
      <c r="K26" s="30">
        <f t="shared" si="6"/>
        <v>11.204656906675806</v>
      </c>
      <c r="L26" s="30">
        <f t="shared" si="6"/>
        <v>1.776362113362675E-3</v>
      </c>
      <c r="M26" s="34">
        <f t="shared" si="6"/>
        <v>3.3015858770765467E-2</v>
      </c>
    </row>
    <row r="27" spans="1:13" x14ac:dyDescent="0.2">
      <c r="A27" s="54"/>
      <c r="B27" s="55"/>
      <c r="C27" s="47">
        <v>0.25</v>
      </c>
      <c r="D27" s="112"/>
      <c r="E27" s="9">
        <f t="shared" ref="E27" si="7">(E7+E9+E11+E13+E15+E17)/6</f>
        <v>28.283333333333335</v>
      </c>
      <c r="F27" s="6">
        <f t="shared" si="5"/>
        <v>1.9116999999999997</v>
      </c>
      <c r="G27" s="6">
        <f t="shared" si="5"/>
        <v>263.31666666666666</v>
      </c>
      <c r="H27" s="30">
        <f t="shared" si="5"/>
        <v>8.5033333333333336E-2</v>
      </c>
      <c r="I27" s="34">
        <f t="shared" si="5"/>
        <v>1.1679166666666667</v>
      </c>
      <c r="J27" s="74">
        <f t="shared" ref="J27:M27" si="8">(J7+J9+J11+J13+J15+J17)/6</f>
        <v>6.7153534662066736E-2</v>
      </c>
      <c r="K27" s="30">
        <f t="shared" si="8"/>
        <v>9.2777134980407432</v>
      </c>
      <c r="L27" s="30">
        <f t="shared" si="8"/>
        <v>2.9438169987738953E-3</v>
      </c>
      <c r="M27" s="34">
        <f t="shared" si="8"/>
        <v>4.0725724074718091E-2</v>
      </c>
    </row>
    <row r="28" spans="1:13" x14ac:dyDescent="0.2">
      <c r="A28" s="56"/>
      <c r="B28" s="57"/>
      <c r="C28" s="44">
        <v>1</v>
      </c>
      <c r="D28" s="113"/>
      <c r="E28" s="14">
        <f t="shared" ref="E28:M28" si="9">E3</f>
        <v>61.3</v>
      </c>
      <c r="F28" s="15">
        <f t="shared" si="9"/>
        <v>6.6299000000000001</v>
      </c>
      <c r="G28" s="15">
        <f t="shared" si="9"/>
        <v>823.48</v>
      </c>
      <c r="H28" s="36">
        <f t="shared" si="9"/>
        <v>0.23499999999999999</v>
      </c>
      <c r="I28" s="37">
        <f t="shared" si="9"/>
        <v>3.4478</v>
      </c>
      <c r="J28" s="76">
        <f t="shared" si="9"/>
        <v>0.10815497553017946</v>
      </c>
      <c r="K28" s="36">
        <f t="shared" si="9"/>
        <v>13.433605220228387</v>
      </c>
      <c r="L28" s="36">
        <f t="shared" si="9"/>
        <v>3.8336052202283849E-3</v>
      </c>
      <c r="M28" s="37">
        <f t="shared" si="9"/>
        <v>5.6244698205546492E-2</v>
      </c>
    </row>
    <row r="29" spans="1:13" x14ac:dyDescent="0.2">
      <c r="A29" s="121" t="s">
        <v>27</v>
      </c>
      <c r="B29" s="122"/>
      <c r="C29" s="122"/>
      <c r="D29" s="122"/>
      <c r="E29" s="122"/>
      <c r="F29" s="122"/>
      <c r="G29" s="122"/>
      <c r="H29" s="122"/>
      <c r="I29" s="122"/>
      <c r="J29" s="42"/>
      <c r="K29" s="43"/>
      <c r="L29" s="43"/>
      <c r="M29" s="40"/>
    </row>
    <row r="30" spans="1:13" ht="57.75" customHeight="1" x14ac:dyDescent="0.2">
      <c r="A30" s="105" t="s">
        <v>28</v>
      </c>
      <c r="B30" s="106"/>
      <c r="C30" s="106"/>
      <c r="D30" s="16" t="s">
        <v>5</v>
      </c>
      <c r="E30" s="17" t="s">
        <v>6</v>
      </c>
      <c r="F30" s="12" t="s">
        <v>7</v>
      </c>
      <c r="G30" s="12" t="s">
        <v>22</v>
      </c>
      <c r="H30" s="12" t="s">
        <v>23</v>
      </c>
      <c r="I30" s="13" t="s">
        <v>10</v>
      </c>
      <c r="J30" s="18" t="s">
        <v>7</v>
      </c>
      <c r="K30" s="12" t="s">
        <v>22</v>
      </c>
      <c r="L30" s="12" t="s">
        <v>23</v>
      </c>
      <c r="M30" s="13" t="s">
        <v>26</v>
      </c>
    </row>
    <row r="31" spans="1:13" x14ac:dyDescent="0.2">
      <c r="A31" s="107"/>
      <c r="B31" s="108"/>
      <c r="C31" s="108"/>
      <c r="D31" s="48">
        <v>2</v>
      </c>
      <c r="E31" s="9">
        <f t="shared" ref="E31:M31" si="10">(E4+SUM(E6:E11))/7</f>
        <v>22.12857142857143</v>
      </c>
      <c r="F31" s="6">
        <f t="shared" si="10"/>
        <v>1.5351285714285712</v>
      </c>
      <c r="G31" s="6">
        <f t="shared" si="10"/>
        <v>226.05571428571426</v>
      </c>
      <c r="H31" s="30">
        <f t="shared" si="10"/>
        <v>4.2957142857142853E-2</v>
      </c>
      <c r="I31" s="34">
        <f t="shared" si="10"/>
        <v>0.73842857142857155</v>
      </c>
      <c r="J31" s="74">
        <f t="shared" si="10"/>
        <v>7.0385953375024096E-2</v>
      </c>
      <c r="K31" s="30">
        <f t="shared" si="10"/>
        <v>10.397010362998568</v>
      </c>
      <c r="L31" s="30">
        <f t="shared" si="10"/>
        <v>1.8925109843020459E-3</v>
      </c>
      <c r="M31" s="34">
        <f t="shared" si="10"/>
        <v>3.3163955758995743E-2</v>
      </c>
    </row>
    <row r="32" spans="1:13" x14ac:dyDescent="0.2">
      <c r="A32" s="109"/>
      <c r="B32" s="110"/>
      <c r="C32" s="110"/>
      <c r="D32" s="45">
        <v>3</v>
      </c>
      <c r="E32" s="14">
        <f t="shared" ref="E32:M32" si="11">(E5+SUM(E12:E17))/7</f>
        <v>27.314285714285717</v>
      </c>
      <c r="F32" s="15">
        <f t="shared" si="11"/>
        <v>2.1778571428571425</v>
      </c>
      <c r="G32" s="15">
        <f t="shared" si="11"/>
        <v>303.77714285714285</v>
      </c>
      <c r="H32" s="36">
        <f t="shared" si="11"/>
        <v>7.215714285714285E-2</v>
      </c>
      <c r="I32" s="37">
        <f t="shared" si="11"/>
        <v>1.1030142857142857</v>
      </c>
      <c r="J32" s="76">
        <f t="shared" si="11"/>
        <v>8.0362111799440278E-2</v>
      </c>
      <c r="K32" s="36">
        <f t="shared" si="11"/>
        <v>11.253392560932147</v>
      </c>
      <c r="L32" s="36">
        <f t="shared" si="11"/>
        <v>2.543594921338824E-3</v>
      </c>
      <c r="M32" s="37">
        <f t="shared" si="11"/>
        <v>3.9714697884471961E-2</v>
      </c>
    </row>
  </sheetData>
  <mergeCells count="8">
    <mergeCell ref="A30:C32"/>
    <mergeCell ref="C19:D22"/>
    <mergeCell ref="D24:D28"/>
    <mergeCell ref="A1:I1"/>
    <mergeCell ref="J1:M1"/>
    <mergeCell ref="A18:I18"/>
    <mergeCell ref="A23:I23"/>
    <mergeCell ref="A29:I29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A8C5-9778-4CF7-8871-618FBC7DAD1A}">
  <dimension ref="A1:M32"/>
  <sheetViews>
    <sheetView workbookViewId="0">
      <selection activeCell="I2" sqref="I2:I17"/>
    </sheetView>
  </sheetViews>
  <sheetFormatPr defaultRowHeight="15" x14ac:dyDescent="0.2"/>
  <cols>
    <col min="1" max="1" width="7.3984375" bestFit="1" customWidth="1"/>
    <col min="2" max="2" width="6.58984375" bestFit="1" customWidth="1"/>
    <col min="3" max="3" width="15.46875" bestFit="1" customWidth="1"/>
    <col min="4" max="4" width="14.390625" style="1" customWidth="1"/>
    <col min="5" max="5" width="14.390625" style="10" customWidth="1"/>
    <col min="6" max="8" width="13.5859375" style="1" customWidth="1"/>
    <col min="9" max="9" width="13.5859375" customWidth="1"/>
    <col min="10" max="11" width="12.23828125" style="28" bestFit="1" customWidth="1"/>
    <col min="12" max="12" width="12.23828125" style="29" bestFit="1" customWidth="1"/>
    <col min="13" max="13" width="9.01171875" style="28" customWidth="1"/>
  </cols>
  <sheetData>
    <row r="1" spans="1:13" x14ac:dyDescent="0.2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6" t="s">
        <v>29</v>
      </c>
      <c r="K1" s="117"/>
      <c r="L1" s="117"/>
      <c r="M1" s="118"/>
    </row>
    <row r="2" spans="1:13" s="1" customFormat="1" ht="54.75" x14ac:dyDescent="0.2">
      <c r="A2" s="58" t="s">
        <v>2</v>
      </c>
      <c r="B2" s="59" t="s">
        <v>3</v>
      </c>
      <c r="C2" s="59" t="s">
        <v>4</v>
      </c>
      <c r="D2" s="59" t="s">
        <v>5</v>
      </c>
      <c r="E2" s="60" t="s">
        <v>6</v>
      </c>
      <c r="F2" s="59" t="s">
        <v>7</v>
      </c>
      <c r="G2" s="59" t="s">
        <v>8</v>
      </c>
      <c r="H2" s="59" t="s">
        <v>9</v>
      </c>
      <c r="I2" s="61" t="s">
        <v>10</v>
      </c>
      <c r="J2" s="62" t="s">
        <v>30</v>
      </c>
      <c r="K2" s="63" t="s">
        <v>12</v>
      </c>
      <c r="L2" s="63" t="s">
        <v>13</v>
      </c>
      <c r="M2" s="64" t="s">
        <v>31</v>
      </c>
    </row>
    <row r="3" spans="1:13" x14ac:dyDescent="0.2">
      <c r="A3" s="50">
        <v>1</v>
      </c>
      <c r="B3" s="3" t="s">
        <v>15</v>
      </c>
      <c r="C3" s="4">
        <v>1</v>
      </c>
      <c r="D3" s="5" t="s">
        <v>16</v>
      </c>
      <c r="E3" s="8">
        <v>73</v>
      </c>
      <c r="F3" s="11">
        <v>9.3462999999999994</v>
      </c>
      <c r="G3" s="7">
        <v>1280.8800000000001</v>
      </c>
      <c r="H3" s="32">
        <v>0.1056</v>
      </c>
      <c r="I3" s="77">
        <v>2.6981999999999999</v>
      </c>
      <c r="J3" s="65">
        <f>Table24[[#This Row],[Ultimate Tensile Strength (kN)]]/Table24[[#This Row],[Mass (g)]]</f>
        <v>0.12803150684931505</v>
      </c>
      <c r="K3" s="66">
        <f>Table24[[#This Row],[Modulus of Elasticity (MPa)]]/Table24[[#This Row],[Mass (g)]]</f>
        <v>17.546301369863016</v>
      </c>
      <c r="L3" s="66">
        <f>Table24[[#This Row],[Modulus of Resilience (MPa)]]/Table24[[#This Row],[Mass (g)]]</f>
        <v>1.4465753424657533E-3</v>
      </c>
      <c r="M3" s="67">
        <f>Table24[[#This Row],[Yield Strength (kN)]]/Table24[[#This Row],[Mass (g)]]</f>
        <v>3.696164383561644E-2</v>
      </c>
    </row>
    <row r="4" spans="1:13" x14ac:dyDescent="0.2">
      <c r="A4" s="50">
        <v>2</v>
      </c>
      <c r="B4" s="3" t="s">
        <v>15</v>
      </c>
      <c r="C4" s="4">
        <v>0</v>
      </c>
      <c r="D4" s="7">
        <v>2</v>
      </c>
      <c r="E4" s="9">
        <v>16.7</v>
      </c>
      <c r="F4" s="6">
        <v>1.6182000000000001</v>
      </c>
      <c r="G4" s="7">
        <v>211.47</v>
      </c>
      <c r="H4" s="32">
        <v>3.27E-2</v>
      </c>
      <c r="I4" s="77">
        <v>0.64910000000000001</v>
      </c>
      <c r="J4" s="68">
        <f>Table24[[#This Row],[Ultimate Tensile Strength (kN)]]/Table24[[#This Row],[Mass (g)]]</f>
        <v>9.6898203592814383E-2</v>
      </c>
      <c r="K4" s="69">
        <f>Table24[[#This Row],[Modulus of Elasticity (MPa)]]/Table24[[#This Row],[Mass (g)]]</f>
        <v>12.662874251497007</v>
      </c>
      <c r="L4" s="69">
        <f>Table24[[#This Row],[Modulus of Resilience (MPa)]]/Table24[[#This Row],[Mass (g)]]</f>
        <v>1.9580838323353294E-3</v>
      </c>
      <c r="M4" s="70">
        <f>Table24[[#This Row],[Yield Strength (kN)]]/Table24[[#This Row],[Mass (g)]]</f>
        <v>3.8868263473053895E-2</v>
      </c>
    </row>
    <row r="5" spans="1:13" x14ac:dyDescent="0.2">
      <c r="A5" s="50">
        <v>3</v>
      </c>
      <c r="B5" s="3" t="s">
        <v>15</v>
      </c>
      <c r="C5" s="4">
        <v>0</v>
      </c>
      <c r="D5" s="7">
        <v>3</v>
      </c>
      <c r="E5" s="9">
        <v>24.1</v>
      </c>
      <c r="F5" s="6">
        <v>2.4346999999999999</v>
      </c>
      <c r="G5" s="7">
        <v>354.94</v>
      </c>
      <c r="H5" s="32">
        <v>2.35E-2</v>
      </c>
      <c r="I5" s="77">
        <v>0.69299999999999995</v>
      </c>
      <c r="J5" s="68">
        <f>Table24[[#This Row],[Ultimate Tensile Strength (kN)]]/Table24[[#This Row],[Mass (g)]]</f>
        <v>0.10102489626556016</v>
      </c>
      <c r="K5" s="69">
        <f>Table24[[#This Row],[Modulus of Elasticity (MPa)]]/Table24[[#This Row],[Mass (g)]]</f>
        <v>14.727800829875518</v>
      </c>
      <c r="L5" s="69">
        <f>Table24[[#This Row],[Modulus of Resilience (MPa)]]/Table24[[#This Row],[Mass (g)]]</f>
        <v>9.7510373443983399E-4</v>
      </c>
      <c r="M5" s="70">
        <f>Table24[[#This Row],[Yield Strength (kN)]]/Table24[[#This Row],[Mass (g)]]</f>
        <v>2.8755186721991698E-2</v>
      </c>
    </row>
    <row r="6" spans="1:13" x14ac:dyDescent="0.2">
      <c r="A6" s="50">
        <v>4</v>
      </c>
      <c r="B6" s="3" t="s">
        <v>17</v>
      </c>
      <c r="C6" s="4">
        <v>0.1</v>
      </c>
      <c r="D6" s="7">
        <v>2</v>
      </c>
      <c r="E6" s="9">
        <v>23</v>
      </c>
      <c r="F6" s="6">
        <v>1.7476</v>
      </c>
      <c r="G6" s="7">
        <v>254.67</v>
      </c>
      <c r="H6" s="32">
        <v>7.9799999999999996E-2</v>
      </c>
      <c r="I6" s="77">
        <v>1.1251</v>
      </c>
      <c r="J6" s="68">
        <f>Table24[[#This Row],[Ultimate Tensile Strength (kN)]]/Table24[[#This Row],[Mass (g)]]</f>
        <v>7.5982608695652182E-2</v>
      </c>
      <c r="K6" s="69">
        <f>Table24[[#This Row],[Modulus of Elasticity (MPa)]]/Table24[[#This Row],[Mass (g)]]</f>
        <v>11.072608695652173</v>
      </c>
      <c r="L6" s="69">
        <f>Table24[[#This Row],[Modulus of Resilience (MPa)]]/Table24[[#This Row],[Mass (g)]]</f>
        <v>3.4695652173913042E-3</v>
      </c>
      <c r="M6" s="70">
        <f>Table24[[#This Row],[Yield Strength (kN)]]/Table24[[#This Row],[Mass (g)]]</f>
        <v>4.8917391304347822E-2</v>
      </c>
    </row>
    <row r="7" spans="1:13" x14ac:dyDescent="0.2">
      <c r="A7" s="50">
        <v>5</v>
      </c>
      <c r="B7" s="3" t="s">
        <v>17</v>
      </c>
      <c r="C7" s="4">
        <v>0.25</v>
      </c>
      <c r="D7" s="7">
        <v>2</v>
      </c>
      <c r="E7" s="9">
        <v>35.1</v>
      </c>
      <c r="F7" s="6">
        <v>2.4641999999999999</v>
      </c>
      <c r="G7" s="7">
        <v>369.98</v>
      </c>
      <c r="H7" s="32">
        <v>0.13500000000000001</v>
      </c>
      <c r="I7" s="77">
        <v>1.7471000000000001</v>
      </c>
      <c r="J7" s="68">
        <f>Table24[[#This Row],[Ultimate Tensile Strength (kN)]]/Table24[[#This Row],[Mass (g)]]</f>
        <v>7.0205128205128198E-2</v>
      </c>
      <c r="K7" s="69">
        <f>Table24[[#This Row],[Modulus of Elasticity (MPa)]]/Table24[[#This Row],[Mass (g)]]</f>
        <v>10.540740740740741</v>
      </c>
      <c r="L7" s="69">
        <f>Table24[[#This Row],[Modulus of Resilience (MPa)]]/Table24[[#This Row],[Mass (g)]]</f>
        <v>3.8461538461538464E-3</v>
      </c>
      <c r="M7" s="70">
        <f>Table24[[#This Row],[Yield Strength (kN)]]/Table24[[#This Row],[Mass (g)]]</f>
        <v>4.9774928774928777E-2</v>
      </c>
    </row>
    <row r="8" spans="1:13" x14ac:dyDescent="0.2">
      <c r="A8" s="50">
        <v>6</v>
      </c>
      <c r="B8" s="3" t="s">
        <v>18</v>
      </c>
      <c r="C8" s="4">
        <v>0.1</v>
      </c>
      <c r="D8" s="7">
        <v>2</v>
      </c>
      <c r="E8" s="9">
        <v>22.9</v>
      </c>
      <c r="F8" s="6">
        <v>2.1301999999999999</v>
      </c>
      <c r="G8" s="7">
        <v>319.06</v>
      </c>
      <c r="H8" s="32">
        <v>6.7299999999999999E-2</v>
      </c>
      <c r="I8" s="77">
        <v>1.1477999999999999</v>
      </c>
      <c r="J8" s="68">
        <f>Table24[[#This Row],[Ultimate Tensile Strength (kN)]]/Table24[[#This Row],[Mass (g)]]</f>
        <v>9.3021834061135372E-2</v>
      </c>
      <c r="K8" s="69">
        <f>Table24[[#This Row],[Modulus of Elasticity (MPa)]]/Table24[[#This Row],[Mass (g)]]</f>
        <v>13.932751091703057</v>
      </c>
      <c r="L8" s="69">
        <f>Table24[[#This Row],[Modulus of Resilience (MPa)]]/Table24[[#This Row],[Mass (g)]]</f>
        <v>2.9388646288209608E-3</v>
      </c>
      <c r="M8" s="70">
        <f>Table24[[#This Row],[Yield Strength (kN)]]/Table24[[#This Row],[Mass (g)]]</f>
        <v>5.0122270742358081E-2</v>
      </c>
    </row>
    <row r="9" spans="1:13" x14ac:dyDescent="0.2">
      <c r="A9" s="50">
        <v>7</v>
      </c>
      <c r="B9" s="3" t="s">
        <v>18</v>
      </c>
      <c r="C9" s="4">
        <v>0.25</v>
      </c>
      <c r="D9" s="7">
        <v>2</v>
      </c>
      <c r="E9" s="9">
        <v>31.3</v>
      </c>
      <c r="F9" s="6">
        <v>2.6031</v>
      </c>
      <c r="G9" s="7">
        <v>390.65</v>
      </c>
      <c r="H9" s="32">
        <v>0.12230000000000001</v>
      </c>
      <c r="I9" s="77">
        <v>1.7310000000000001</v>
      </c>
      <c r="J9" s="68">
        <f>Table24[[#This Row],[Ultimate Tensile Strength (kN)]]/Table24[[#This Row],[Mass (g)]]</f>
        <v>8.3166134185303511E-2</v>
      </c>
      <c r="K9" s="69">
        <f>Table24[[#This Row],[Modulus of Elasticity (MPa)]]/Table24[[#This Row],[Mass (g)]]</f>
        <v>12.480830670926517</v>
      </c>
      <c r="L9" s="69">
        <f>Table24[[#This Row],[Modulus of Resilience (MPa)]]/Table24[[#This Row],[Mass (g)]]</f>
        <v>3.9073482428115015E-3</v>
      </c>
      <c r="M9" s="70">
        <f>Table24[[#This Row],[Yield Strength (kN)]]/Table24[[#This Row],[Mass (g)]]</f>
        <v>5.5303514376996807E-2</v>
      </c>
    </row>
    <row r="10" spans="1:13" x14ac:dyDescent="0.2">
      <c r="A10" s="50">
        <v>8</v>
      </c>
      <c r="B10" s="3" t="s">
        <v>19</v>
      </c>
      <c r="C10" s="4">
        <v>0.1</v>
      </c>
      <c r="D10" s="7">
        <v>2</v>
      </c>
      <c r="E10" s="9">
        <v>23</v>
      </c>
      <c r="F10" s="6">
        <v>2.0438000000000001</v>
      </c>
      <c r="G10" s="7">
        <v>295.55</v>
      </c>
      <c r="H10" s="32">
        <v>8.14E-2</v>
      </c>
      <c r="I10" s="77">
        <v>1.2306999999999999</v>
      </c>
      <c r="J10" s="68">
        <f>Table24[[#This Row],[Ultimate Tensile Strength (kN)]]/Table24[[#This Row],[Mass (g)]]</f>
        <v>8.8860869565217396E-2</v>
      </c>
      <c r="K10" s="69">
        <f>Table24[[#This Row],[Modulus of Elasticity (MPa)]]/Table24[[#This Row],[Mass (g)]]</f>
        <v>12.85</v>
      </c>
      <c r="L10" s="69">
        <f>Table24[[#This Row],[Modulus of Resilience (MPa)]]/Table24[[#This Row],[Mass (g)]]</f>
        <v>3.5391304347826085E-3</v>
      </c>
      <c r="M10" s="70">
        <f>Table24[[#This Row],[Yield Strength (kN)]]/Table24[[#This Row],[Mass (g)]]</f>
        <v>5.3508695652173907E-2</v>
      </c>
    </row>
    <row r="11" spans="1:13" x14ac:dyDescent="0.2">
      <c r="A11" s="50">
        <v>9</v>
      </c>
      <c r="B11" s="3" t="s">
        <v>19</v>
      </c>
      <c r="C11" s="4">
        <v>0.25</v>
      </c>
      <c r="D11" s="7">
        <v>2</v>
      </c>
      <c r="E11" s="9">
        <v>31</v>
      </c>
      <c r="F11" s="6">
        <v>2.3403999999999998</v>
      </c>
      <c r="G11" s="7">
        <v>332.1</v>
      </c>
      <c r="H11" s="32">
        <v>0.1101</v>
      </c>
      <c r="I11" s="77">
        <v>1.5125999999999999</v>
      </c>
      <c r="J11" s="68">
        <f>Table24[[#This Row],[Ultimate Tensile Strength (kN)]]/Table24[[#This Row],[Mass (g)]]</f>
        <v>7.5496774193548374E-2</v>
      </c>
      <c r="K11" s="69">
        <f>Table24[[#This Row],[Modulus of Elasticity (MPa)]]/Table24[[#This Row],[Mass (g)]]</f>
        <v>10.712903225806452</v>
      </c>
      <c r="L11" s="69">
        <f>Table24[[#This Row],[Modulus of Resilience (MPa)]]/Table24[[#This Row],[Mass (g)]]</f>
        <v>3.5516129032258066E-3</v>
      </c>
      <c r="M11" s="70">
        <f>Table24[[#This Row],[Yield Strength (kN)]]/Table24[[#This Row],[Mass (g)]]</f>
        <v>4.879354838709677E-2</v>
      </c>
    </row>
    <row r="12" spans="1:13" x14ac:dyDescent="0.2">
      <c r="A12" s="50">
        <v>10</v>
      </c>
      <c r="B12" s="3" t="s">
        <v>17</v>
      </c>
      <c r="C12" s="4">
        <v>0.1</v>
      </c>
      <c r="D12" s="7">
        <v>3</v>
      </c>
      <c r="E12" s="9">
        <v>29.6</v>
      </c>
      <c r="F12" s="6">
        <v>2.8334000000000001</v>
      </c>
      <c r="G12" s="7">
        <v>403.11</v>
      </c>
      <c r="H12" s="32">
        <v>0.1157</v>
      </c>
      <c r="I12" s="77">
        <v>1.7043999999999999</v>
      </c>
      <c r="J12" s="68">
        <f>Table24[[#This Row],[Ultimate Tensile Strength (kN)]]/Table24[[#This Row],[Mass (g)]]</f>
        <v>9.5722972972972969E-2</v>
      </c>
      <c r="K12" s="69">
        <f>Table24[[#This Row],[Modulus of Elasticity (MPa)]]/Table24[[#This Row],[Mass (g)]]</f>
        <v>13.61858108108108</v>
      </c>
      <c r="L12" s="69">
        <f>Table24[[#This Row],[Modulus of Resilience (MPa)]]/Table24[[#This Row],[Mass (g)]]</f>
        <v>3.9087837837837834E-3</v>
      </c>
      <c r="M12" s="70">
        <f>Table24[[#This Row],[Yield Strength (kN)]]/Table24[[#This Row],[Mass (g)]]</f>
        <v>5.7581081081081079E-2</v>
      </c>
    </row>
    <row r="13" spans="1:13" x14ac:dyDescent="0.2">
      <c r="A13" s="50">
        <v>11</v>
      </c>
      <c r="B13" s="3" t="s">
        <v>17</v>
      </c>
      <c r="C13" s="4">
        <v>0.25</v>
      </c>
      <c r="D13" s="7">
        <v>3</v>
      </c>
      <c r="E13" s="9">
        <v>36.9</v>
      </c>
      <c r="F13" s="6">
        <v>2.8868</v>
      </c>
      <c r="G13" s="7">
        <v>414.66</v>
      </c>
      <c r="H13" s="32">
        <v>0.1236</v>
      </c>
      <c r="I13" s="77">
        <v>1.7942</v>
      </c>
      <c r="J13" s="68">
        <f>Table24[[#This Row],[Ultimate Tensile Strength (kN)]]/Table24[[#This Row],[Mass (g)]]</f>
        <v>7.8233062330623312E-2</v>
      </c>
      <c r="K13" s="69">
        <f>Table24[[#This Row],[Modulus of Elasticity (MPa)]]/Table24[[#This Row],[Mass (g)]]</f>
        <v>11.237398373983741</v>
      </c>
      <c r="L13" s="69">
        <f>Table24[[#This Row],[Modulus of Resilience (MPa)]]/Table24[[#This Row],[Mass (g)]]</f>
        <v>3.3495934959349594E-3</v>
      </c>
      <c r="M13" s="70">
        <f>Table24[[#This Row],[Yield Strength (kN)]]/Table24[[#This Row],[Mass (g)]]</f>
        <v>4.8623306233062331E-2</v>
      </c>
    </row>
    <row r="14" spans="1:13" x14ac:dyDescent="0.2">
      <c r="A14" s="50">
        <v>12</v>
      </c>
      <c r="B14" s="3" t="s">
        <v>18</v>
      </c>
      <c r="C14" s="4">
        <v>0.1</v>
      </c>
      <c r="D14" s="7">
        <v>3</v>
      </c>
      <c r="E14" s="9">
        <v>29.5</v>
      </c>
      <c r="F14" s="6">
        <v>2.8893</v>
      </c>
      <c r="G14" s="7">
        <v>423.57</v>
      </c>
      <c r="H14" s="32">
        <v>7.0400000000000004E-2</v>
      </c>
      <c r="I14" s="77">
        <v>1.35</v>
      </c>
      <c r="J14" s="68">
        <f>Table24[[#This Row],[Ultimate Tensile Strength (kN)]]/Table24[[#This Row],[Mass (g)]]</f>
        <v>9.7942372881355932E-2</v>
      </c>
      <c r="K14" s="69">
        <f>Table24[[#This Row],[Modulus of Elasticity (MPa)]]/Table24[[#This Row],[Mass (g)]]</f>
        <v>14.358305084745762</v>
      </c>
      <c r="L14" s="69">
        <f>Table24[[#This Row],[Modulus of Resilience (MPa)]]/Table24[[#This Row],[Mass (g)]]</f>
        <v>2.3864406779661018E-3</v>
      </c>
      <c r="M14" s="70">
        <f>Table24[[#This Row],[Yield Strength (kN)]]/Table24[[#This Row],[Mass (g)]]</f>
        <v>4.576271186440678E-2</v>
      </c>
    </row>
    <row r="15" spans="1:13" x14ac:dyDescent="0.2">
      <c r="A15" s="50">
        <v>13</v>
      </c>
      <c r="B15" s="3" t="s">
        <v>18</v>
      </c>
      <c r="C15" s="4">
        <v>0.25</v>
      </c>
      <c r="D15" s="7">
        <v>3</v>
      </c>
      <c r="E15" s="9">
        <v>36.9</v>
      </c>
      <c r="F15" s="6">
        <v>3.2658</v>
      </c>
      <c r="G15" s="7">
        <v>483.77</v>
      </c>
      <c r="H15" s="32">
        <v>0.13370000000000001</v>
      </c>
      <c r="I15" s="77">
        <v>2.0055999999999998</v>
      </c>
      <c r="J15" s="68">
        <f>Table24[[#This Row],[Ultimate Tensile Strength (kN)]]/Table24[[#This Row],[Mass (g)]]</f>
        <v>8.8504065040650406E-2</v>
      </c>
      <c r="K15" s="69">
        <f>Table24[[#This Row],[Modulus of Elasticity (MPa)]]/Table24[[#This Row],[Mass (g)]]</f>
        <v>13.11029810298103</v>
      </c>
      <c r="L15" s="69">
        <f>Table24[[#This Row],[Modulus of Resilience (MPa)]]/Table24[[#This Row],[Mass (g)]]</f>
        <v>3.6233062330623313E-3</v>
      </c>
      <c r="M15" s="70">
        <f>Table24[[#This Row],[Yield Strength (kN)]]/Table24[[#This Row],[Mass (g)]]</f>
        <v>5.4352303523035231E-2</v>
      </c>
    </row>
    <row r="16" spans="1:13" x14ac:dyDescent="0.2">
      <c r="A16" s="50">
        <v>14</v>
      </c>
      <c r="B16" s="3" t="s">
        <v>19</v>
      </c>
      <c r="C16" s="4">
        <v>0.1</v>
      </c>
      <c r="D16" s="7">
        <v>3</v>
      </c>
      <c r="E16" s="9">
        <v>29.8</v>
      </c>
      <c r="F16" s="6">
        <v>2.6368</v>
      </c>
      <c r="G16" s="7">
        <v>401.55</v>
      </c>
      <c r="H16" s="32">
        <v>9.0700000000000003E-2</v>
      </c>
      <c r="I16" s="77">
        <v>1.4959</v>
      </c>
      <c r="J16" s="68">
        <f>Table24[[#This Row],[Ultimate Tensile Strength (kN)]]/Table24[[#This Row],[Mass (g)]]</f>
        <v>8.8483221476510068E-2</v>
      </c>
      <c r="K16" s="69">
        <f>Table24[[#This Row],[Modulus of Elasticity (MPa)]]/Table24[[#This Row],[Mass (g)]]</f>
        <v>13.474832214765101</v>
      </c>
      <c r="L16" s="69">
        <f>Table24[[#This Row],[Modulus of Resilience (MPa)]]/Table24[[#This Row],[Mass (g)]]</f>
        <v>3.0436241610738257E-3</v>
      </c>
      <c r="M16" s="70">
        <f>Table24[[#This Row],[Yield Strength (kN)]]/Table24[[#This Row],[Mass (g)]]</f>
        <v>5.0197986577181206E-2</v>
      </c>
    </row>
    <row r="17" spans="1:13" x14ac:dyDescent="0.2">
      <c r="A17" s="51">
        <v>15</v>
      </c>
      <c r="B17" s="19" t="s">
        <v>19</v>
      </c>
      <c r="C17" s="20">
        <v>0.25</v>
      </c>
      <c r="D17" s="21">
        <v>3</v>
      </c>
      <c r="E17" s="22">
        <v>36.799999999999997</v>
      </c>
      <c r="F17" s="23">
        <v>3.1633</v>
      </c>
      <c r="G17" s="21">
        <v>490.71</v>
      </c>
      <c r="H17" s="33">
        <v>6.6299999999999998E-2</v>
      </c>
      <c r="I17" s="78">
        <v>1.401</v>
      </c>
      <c r="J17" s="71">
        <f>Table24[[#This Row],[Ultimate Tensile Strength (kN)]]/Table24[[#This Row],[Mass (g)]]</f>
        <v>8.5959239130434795E-2</v>
      </c>
      <c r="K17" s="72">
        <f>Table24[[#This Row],[Modulus of Elasticity (MPa)]]/Table24[[#This Row],[Mass (g)]]</f>
        <v>13.334510869565218</v>
      </c>
      <c r="L17" s="72">
        <f>Table24[[#This Row],[Modulus of Resilience (MPa)]]/Table24[[#This Row],[Mass (g)]]</f>
        <v>1.8016304347826088E-3</v>
      </c>
      <c r="M17" s="73">
        <f>Table24[[#This Row],[Yield Strength (kN)]]/Table24[[#This Row],[Mass (g)]]</f>
        <v>3.8070652173913047E-2</v>
      </c>
    </row>
    <row r="18" spans="1:13" x14ac:dyDescent="0.2">
      <c r="A18" s="119" t="s">
        <v>20</v>
      </c>
      <c r="B18" s="120"/>
      <c r="C18" s="120"/>
      <c r="D18" s="120"/>
      <c r="E18" s="120"/>
      <c r="F18" s="120"/>
      <c r="G18" s="120"/>
      <c r="H18" s="120"/>
      <c r="I18" s="120"/>
      <c r="J18" s="41"/>
      <c r="K18" s="38"/>
      <c r="L18" s="38"/>
      <c r="M18" s="39"/>
    </row>
    <row r="19" spans="1:13" s="2" customFormat="1" ht="41.25" x14ac:dyDescent="0.2">
      <c r="A19" s="52"/>
      <c r="B19" s="16" t="s">
        <v>3</v>
      </c>
      <c r="C19" s="106" t="s">
        <v>21</v>
      </c>
      <c r="D19" s="111"/>
      <c r="E19" s="17" t="s">
        <v>6</v>
      </c>
      <c r="F19" s="12" t="s">
        <v>7</v>
      </c>
      <c r="G19" s="12" t="s">
        <v>22</v>
      </c>
      <c r="H19" s="12" t="s">
        <v>23</v>
      </c>
      <c r="I19" s="13" t="s">
        <v>10</v>
      </c>
      <c r="J19" s="26" t="s">
        <v>7</v>
      </c>
      <c r="K19" s="24" t="s">
        <v>22</v>
      </c>
      <c r="L19" s="24" t="s">
        <v>23</v>
      </c>
      <c r="M19" s="25" t="s">
        <v>10</v>
      </c>
    </row>
    <row r="20" spans="1:13" x14ac:dyDescent="0.2">
      <c r="A20" s="54"/>
      <c r="B20" s="46" t="s">
        <v>17</v>
      </c>
      <c r="C20" s="108"/>
      <c r="D20" s="112"/>
      <c r="E20" s="9">
        <f>(SUM(E6:E7)+SUM(E12:E13))/4</f>
        <v>31.15</v>
      </c>
      <c r="F20" s="6">
        <f>(SUM(F6:F7)+SUM(F12:F13))/4</f>
        <v>2.4830000000000001</v>
      </c>
      <c r="G20" s="6">
        <f t="shared" ref="G20:I20" si="0">(SUM(G6:G7)+SUM(G12:G13))/4</f>
        <v>360.60500000000002</v>
      </c>
      <c r="H20" s="30">
        <f>(SUM(H6:H7)+SUM(H12:H13))/4</f>
        <v>0.113525</v>
      </c>
      <c r="I20" s="34">
        <f t="shared" si="0"/>
        <v>1.5927</v>
      </c>
      <c r="J20" s="74">
        <f>(SUM(J6:J7)+SUM(J12:J13))/4</f>
        <v>8.0035943051094155E-2</v>
      </c>
      <c r="K20" s="30">
        <f t="shared" ref="K20" si="1">(SUM(K6:K7)+SUM(K12:K13))/4</f>
        <v>11.617332222864434</v>
      </c>
      <c r="L20" s="30">
        <f>(SUM(L6:L7)+SUM(L12:L13))/4</f>
        <v>3.6435240858159732E-3</v>
      </c>
      <c r="M20" s="34">
        <f t="shared" ref="M20" si="2">(SUM(M6:M7)+SUM(M12:M13))/4</f>
        <v>5.1224176848355008E-2</v>
      </c>
    </row>
    <row r="21" spans="1:13" x14ac:dyDescent="0.2">
      <c r="A21" s="54"/>
      <c r="B21" s="46" t="s">
        <v>18</v>
      </c>
      <c r="C21" s="108"/>
      <c r="D21" s="112"/>
      <c r="E21" s="9">
        <f>(E8+E9+E14+E15)/4</f>
        <v>30.15</v>
      </c>
      <c r="F21" s="6">
        <f>(F8+F9+F14+F15)/4</f>
        <v>2.7221000000000002</v>
      </c>
      <c r="G21" s="6">
        <f t="shared" ref="G21:I21" si="3">(G8+G9+G14+G15)/4</f>
        <v>404.26249999999999</v>
      </c>
      <c r="H21" s="30">
        <f t="shared" si="3"/>
        <v>9.8425000000000012E-2</v>
      </c>
      <c r="I21" s="34">
        <f t="shared" si="3"/>
        <v>1.5585999999999998</v>
      </c>
      <c r="J21" s="74">
        <f>(J8+J9+J14+J15)/4</f>
        <v>9.0658601542111306E-2</v>
      </c>
      <c r="K21" s="30">
        <f t="shared" ref="K21:M21" si="4">(K8+K9+K14+K15)/4</f>
        <v>13.470546237589094</v>
      </c>
      <c r="L21" s="30">
        <f t="shared" si="4"/>
        <v>3.2139899456652241E-3</v>
      </c>
      <c r="M21" s="34">
        <f t="shared" si="4"/>
        <v>5.1385200126699226E-2</v>
      </c>
    </row>
    <row r="22" spans="1:13" x14ac:dyDescent="0.2">
      <c r="A22" s="56"/>
      <c r="B22" s="49" t="s">
        <v>19</v>
      </c>
      <c r="C22" s="110"/>
      <c r="D22" s="113"/>
      <c r="E22" s="14">
        <f>(E10+E11+E16+E17)/4</f>
        <v>30.15</v>
      </c>
      <c r="F22" s="15">
        <f>(F10+F11+F16+F17)/4</f>
        <v>2.5460750000000001</v>
      </c>
      <c r="G22" s="15">
        <f t="shared" ref="G22:I22" si="5">(G10+G11+G16+G17)/4</f>
        <v>379.97750000000002</v>
      </c>
      <c r="H22" s="36">
        <f t="shared" si="5"/>
        <v>8.7125000000000008E-2</v>
      </c>
      <c r="I22" s="37">
        <f t="shared" si="5"/>
        <v>1.4100499999999998</v>
      </c>
      <c r="J22" s="75">
        <f>(J10+J11+J16+J17)/4</f>
        <v>8.4700026091427655E-2</v>
      </c>
      <c r="K22" s="31">
        <f t="shared" ref="K22:M22" si="6">(K10+K11+K16+K17)/4</f>
        <v>12.593061577534193</v>
      </c>
      <c r="L22" s="31">
        <f t="shared" si="6"/>
        <v>2.9839994834662126E-3</v>
      </c>
      <c r="M22" s="35">
        <f t="shared" si="6"/>
        <v>4.7642720697591234E-2</v>
      </c>
    </row>
    <row r="23" spans="1:13" x14ac:dyDescent="0.2">
      <c r="A23" s="121" t="s">
        <v>24</v>
      </c>
      <c r="B23" s="122"/>
      <c r="C23" s="122"/>
      <c r="D23" s="122"/>
      <c r="E23" s="122"/>
      <c r="F23" s="122"/>
      <c r="G23" s="122"/>
      <c r="H23" s="122"/>
      <c r="I23" s="122"/>
      <c r="J23" s="41"/>
      <c r="K23" s="38"/>
      <c r="L23" s="38"/>
      <c r="M23" s="39"/>
    </row>
    <row r="24" spans="1:13" ht="41.25" x14ac:dyDescent="0.2">
      <c r="A24" s="52"/>
      <c r="B24" s="53"/>
      <c r="C24" s="16" t="s">
        <v>4</v>
      </c>
      <c r="D24" s="111" t="s">
        <v>25</v>
      </c>
      <c r="E24" s="17" t="s">
        <v>6</v>
      </c>
      <c r="F24" s="12" t="s">
        <v>7</v>
      </c>
      <c r="G24" s="12" t="s">
        <v>22</v>
      </c>
      <c r="H24" s="12" t="s">
        <v>23</v>
      </c>
      <c r="I24" s="13" t="s">
        <v>10</v>
      </c>
      <c r="J24" s="26" t="s">
        <v>7</v>
      </c>
      <c r="K24" s="24" t="s">
        <v>22</v>
      </c>
      <c r="L24" s="24" t="s">
        <v>23</v>
      </c>
      <c r="M24" s="25" t="s">
        <v>10</v>
      </c>
    </row>
    <row r="25" spans="1:13" x14ac:dyDescent="0.2">
      <c r="A25" s="54"/>
      <c r="B25" s="55"/>
      <c r="C25" s="47">
        <v>0</v>
      </c>
      <c r="D25" s="112"/>
      <c r="E25" s="9">
        <f t="shared" ref="E25:M25" si="7">(SUM(E4:E5))/2</f>
        <v>20.399999999999999</v>
      </c>
      <c r="F25" s="6">
        <f t="shared" si="7"/>
        <v>2.0264500000000001</v>
      </c>
      <c r="G25" s="6">
        <f t="shared" si="7"/>
        <v>283.20499999999998</v>
      </c>
      <c r="H25" s="30">
        <f t="shared" si="7"/>
        <v>2.81E-2</v>
      </c>
      <c r="I25" s="34">
        <f t="shared" si="7"/>
        <v>0.67104999999999992</v>
      </c>
      <c r="J25" s="74">
        <f t="shared" si="7"/>
        <v>9.8961549929187265E-2</v>
      </c>
      <c r="K25" s="30">
        <f t="shared" si="7"/>
        <v>13.695337540686262</v>
      </c>
      <c r="L25" s="30">
        <f t="shared" si="7"/>
        <v>1.4665937833875818E-3</v>
      </c>
      <c r="M25" s="34">
        <f t="shared" si="7"/>
        <v>3.3811725097522796E-2</v>
      </c>
    </row>
    <row r="26" spans="1:13" x14ac:dyDescent="0.2">
      <c r="A26" s="54"/>
      <c r="B26" s="55"/>
      <c r="C26" s="47">
        <v>0.1</v>
      </c>
      <c r="D26" s="112"/>
      <c r="E26" s="9">
        <f t="shared" ref="E26" si="8">(E6+E8+E10+E12+E14+E16)/6</f>
        <v>26.3</v>
      </c>
      <c r="F26" s="6">
        <f t="shared" ref="F26:I27" si="9">(F6+F8+F10+F12+F14+F16)/6</f>
        <v>2.3801833333333331</v>
      </c>
      <c r="G26" s="6">
        <f t="shared" si="9"/>
        <v>349.58499999999998</v>
      </c>
      <c r="H26" s="30">
        <f t="shared" si="9"/>
        <v>8.4216666666666676E-2</v>
      </c>
      <c r="I26" s="34">
        <f t="shared" si="9"/>
        <v>1.3423166666666668</v>
      </c>
      <c r="J26" s="74">
        <f t="shared" ref="J26:M26" si="10">(J6+J8+J10+J12+J14+J16)/6</f>
        <v>9.0002313275473977E-2</v>
      </c>
      <c r="K26" s="30">
        <f t="shared" si="10"/>
        <v>13.217846361324531</v>
      </c>
      <c r="L26" s="30">
        <f t="shared" si="10"/>
        <v>3.214401483969764E-3</v>
      </c>
      <c r="M26" s="34">
        <f t="shared" si="10"/>
        <v>5.1015022870258143E-2</v>
      </c>
    </row>
    <row r="27" spans="1:13" x14ac:dyDescent="0.2">
      <c r="A27" s="54"/>
      <c r="B27" s="55"/>
      <c r="C27" s="47">
        <v>0.25</v>
      </c>
      <c r="D27" s="112"/>
      <c r="E27" s="9">
        <f t="shared" ref="E27" si="11">(E7+E9+E11+E13+E15+E17)/6</f>
        <v>34.666666666666664</v>
      </c>
      <c r="F27" s="6">
        <f t="shared" si="9"/>
        <v>2.787266666666667</v>
      </c>
      <c r="G27" s="6">
        <f t="shared" si="9"/>
        <v>413.64499999999998</v>
      </c>
      <c r="H27" s="30">
        <f t="shared" si="9"/>
        <v>0.11516666666666668</v>
      </c>
      <c r="I27" s="34">
        <f t="shared" si="9"/>
        <v>1.6985833333333333</v>
      </c>
      <c r="J27" s="74">
        <f t="shared" ref="J27:M27" si="12">(J7+J9+J11+J13+J15+J17)/6</f>
        <v>8.0260733847614771E-2</v>
      </c>
      <c r="K27" s="30">
        <f t="shared" si="12"/>
        <v>11.902780330667284</v>
      </c>
      <c r="L27" s="30">
        <f t="shared" si="12"/>
        <v>3.3466075259951755E-3</v>
      </c>
      <c r="M27" s="34">
        <f t="shared" si="12"/>
        <v>4.9153042244838824E-2</v>
      </c>
    </row>
    <row r="28" spans="1:13" x14ac:dyDescent="0.2">
      <c r="A28" s="56"/>
      <c r="B28" s="57"/>
      <c r="C28" s="44">
        <v>1</v>
      </c>
      <c r="D28" s="113"/>
      <c r="E28" s="14">
        <f t="shared" ref="E28:M28" si="13">E3</f>
        <v>73</v>
      </c>
      <c r="F28" s="15">
        <f t="shared" si="13"/>
        <v>9.3462999999999994</v>
      </c>
      <c r="G28" s="15">
        <f t="shared" si="13"/>
        <v>1280.8800000000001</v>
      </c>
      <c r="H28" s="36">
        <f t="shared" si="13"/>
        <v>0.1056</v>
      </c>
      <c r="I28" s="37">
        <f t="shared" si="13"/>
        <v>2.6981999999999999</v>
      </c>
      <c r="J28" s="76">
        <f t="shared" si="13"/>
        <v>0.12803150684931505</v>
      </c>
      <c r="K28" s="36">
        <f t="shared" si="13"/>
        <v>17.546301369863016</v>
      </c>
      <c r="L28" s="36">
        <f t="shared" si="13"/>
        <v>1.4465753424657533E-3</v>
      </c>
      <c r="M28" s="37">
        <f t="shared" si="13"/>
        <v>3.696164383561644E-2</v>
      </c>
    </row>
    <row r="29" spans="1:13" x14ac:dyDescent="0.2">
      <c r="A29" s="121" t="s">
        <v>27</v>
      </c>
      <c r="B29" s="122"/>
      <c r="C29" s="122"/>
      <c r="D29" s="122"/>
      <c r="E29" s="122"/>
      <c r="F29" s="122"/>
      <c r="G29" s="122"/>
      <c r="H29" s="122"/>
      <c r="I29" s="122"/>
      <c r="J29" s="42"/>
      <c r="K29" s="43"/>
      <c r="L29" s="43"/>
      <c r="M29" s="40"/>
    </row>
    <row r="30" spans="1:13" ht="41.25" x14ac:dyDescent="0.2">
      <c r="A30" s="105" t="s">
        <v>28</v>
      </c>
      <c r="B30" s="106"/>
      <c r="C30" s="106"/>
      <c r="D30" s="16" t="s">
        <v>5</v>
      </c>
      <c r="E30" s="17" t="s">
        <v>6</v>
      </c>
      <c r="F30" s="12" t="s">
        <v>7</v>
      </c>
      <c r="G30" s="12" t="s">
        <v>22</v>
      </c>
      <c r="H30" s="12" t="s">
        <v>23</v>
      </c>
      <c r="I30" s="13" t="s">
        <v>10</v>
      </c>
      <c r="J30" s="18" t="s">
        <v>7</v>
      </c>
      <c r="K30" s="12" t="s">
        <v>22</v>
      </c>
      <c r="L30" s="12" t="s">
        <v>23</v>
      </c>
      <c r="M30" s="13" t="s">
        <v>10</v>
      </c>
    </row>
    <row r="31" spans="1:13" x14ac:dyDescent="0.2">
      <c r="A31" s="107"/>
      <c r="B31" s="108"/>
      <c r="C31" s="108"/>
      <c r="D31" s="48">
        <v>2</v>
      </c>
      <c r="E31" s="9">
        <f t="shared" ref="E31:M31" si="14">(E4+SUM(E6:E11))/7</f>
        <v>26.142857142857142</v>
      </c>
      <c r="F31" s="6">
        <f t="shared" si="14"/>
        <v>2.135357142857143</v>
      </c>
      <c r="G31" s="6">
        <f t="shared" si="14"/>
        <v>310.49714285714288</v>
      </c>
      <c r="H31" s="30">
        <f t="shared" si="14"/>
        <v>8.9799999999999991E-2</v>
      </c>
      <c r="I31" s="34">
        <f t="shared" si="14"/>
        <v>1.3062</v>
      </c>
      <c r="J31" s="74">
        <f t="shared" si="14"/>
        <v>8.3375936071257054E-2</v>
      </c>
      <c r="K31" s="30">
        <f t="shared" si="14"/>
        <v>12.036101239475135</v>
      </c>
      <c r="L31" s="30">
        <f t="shared" si="14"/>
        <v>3.3158227293601933E-3</v>
      </c>
      <c r="M31" s="34">
        <f t="shared" si="14"/>
        <v>4.9326944672993721E-2</v>
      </c>
    </row>
    <row r="32" spans="1:13" x14ac:dyDescent="0.2">
      <c r="A32" s="109"/>
      <c r="B32" s="110"/>
      <c r="C32" s="110"/>
      <c r="D32" s="45">
        <v>3</v>
      </c>
      <c r="E32" s="14">
        <f t="shared" ref="E32:M32" si="15">(E5+SUM(E12:E17))/7</f>
        <v>31.942857142857143</v>
      </c>
      <c r="F32" s="15">
        <f t="shared" si="15"/>
        <v>2.8728714285714285</v>
      </c>
      <c r="G32" s="15">
        <f t="shared" si="15"/>
        <v>424.61571428571426</v>
      </c>
      <c r="H32" s="36">
        <f t="shared" si="15"/>
        <v>8.9128571428571432E-2</v>
      </c>
      <c r="I32" s="37">
        <f t="shared" si="15"/>
        <v>1.4920142857142855</v>
      </c>
      <c r="J32" s="76">
        <f t="shared" si="15"/>
        <v>9.0838547156872521E-2</v>
      </c>
      <c r="K32" s="36">
        <f t="shared" si="15"/>
        <v>13.408818079571065</v>
      </c>
      <c r="L32" s="36">
        <f t="shared" si="15"/>
        <v>2.7269260744347775E-3</v>
      </c>
      <c r="M32" s="37">
        <f t="shared" si="15"/>
        <v>4.6191889739238767E-2</v>
      </c>
    </row>
  </sheetData>
  <mergeCells count="8">
    <mergeCell ref="A30:C32"/>
    <mergeCell ref="A1:I1"/>
    <mergeCell ref="J1:M1"/>
    <mergeCell ref="A18:I18"/>
    <mergeCell ref="C19:D22"/>
    <mergeCell ref="A23:I23"/>
    <mergeCell ref="D24:D28"/>
    <mergeCell ref="A29:I2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DB9D-ABBC-45BF-9D7F-7B8B90EE7F4C}">
  <dimension ref="A1:M32"/>
  <sheetViews>
    <sheetView workbookViewId="0">
      <selection activeCell="J2" sqref="J2"/>
    </sheetView>
  </sheetViews>
  <sheetFormatPr defaultRowHeight="15" x14ac:dyDescent="0.2"/>
  <cols>
    <col min="1" max="1" width="7.3984375" bestFit="1" customWidth="1"/>
    <col min="2" max="2" width="6.58984375" bestFit="1" customWidth="1"/>
    <col min="3" max="3" width="15.46875" bestFit="1" customWidth="1"/>
    <col min="4" max="5" width="14.390625" style="1" customWidth="1"/>
    <col min="6" max="8" width="13.5859375" style="1" customWidth="1"/>
    <col min="9" max="9" width="13.5859375" customWidth="1"/>
    <col min="12" max="12" width="9.55078125" customWidth="1"/>
  </cols>
  <sheetData>
    <row r="1" spans="1:13" x14ac:dyDescent="0.2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6" t="s">
        <v>29</v>
      </c>
      <c r="K1" s="117"/>
      <c r="L1" s="117"/>
      <c r="M1" s="118"/>
    </row>
    <row r="2" spans="1:13" s="1" customFormat="1" ht="68.25" x14ac:dyDescent="0.2">
      <c r="A2" s="58" t="s">
        <v>2</v>
      </c>
      <c r="B2" s="59" t="s">
        <v>3</v>
      </c>
      <c r="C2" s="59" t="s">
        <v>4</v>
      </c>
      <c r="D2" s="59" t="s">
        <v>5</v>
      </c>
      <c r="E2" s="60" t="s">
        <v>6</v>
      </c>
      <c r="F2" s="59" t="s">
        <v>7</v>
      </c>
      <c r="G2" s="59" t="s">
        <v>8</v>
      </c>
      <c r="H2" s="59" t="s">
        <v>9</v>
      </c>
      <c r="I2" s="61" t="s">
        <v>10</v>
      </c>
      <c r="J2" s="62" t="s">
        <v>30</v>
      </c>
      <c r="K2" s="63" t="s">
        <v>12</v>
      </c>
      <c r="L2" s="63" t="s">
        <v>13</v>
      </c>
      <c r="M2" s="64" t="s">
        <v>31</v>
      </c>
    </row>
    <row r="3" spans="1:13" x14ac:dyDescent="0.2">
      <c r="A3" s="50">
        <v>1</v>
      </c>
      <c r="B3" s="3" t="s">
        <v>15</v>
      </c>
      <c r="C3" s="4">
        <v>1</v>
      </c>
      <c r="D3" s="5" t="s">
        <v>16</v>
      </c>
      <c r="E3" s="8">
        <v>74.599999999999994</v>
      </c>
      <c r="F3" s="11">
        <v>9.6692999999999998</v>
      </c>
      <c r="G3" s="7">
        <v>713.07</v>
      </c>
      <c r="H3" s="32">
        <v>0.28489999999999999</v>
      </c>
      <c r="I3" s="77">
        <v>3.56</v>
      </c>
      <c r="J3" s="65">
        <f>Table245[[#This Row],[Ultimate Tensile Strength (kN)]]/Table245[[#This Row],[Mass (g)]]</f>
        <v>0.1296152815013405</v>
      </c>
      <c r="K3" s="66">
        <f>Table245[[#This Row],[Modulus of Elasticity (MPa)]]/Table245[[#This Row],[Mass (g)]]</f>
        <v>9.558579088471852</v>
      </c>
      <c r="L3" s="66">
        <f>Table245[[#This Row],[Modulus of Resilience (MPa)]]/Table245[[#This Row],[Mass (g)]]</f>
        <v>3.819034852546917E-3</v>
      </c>
      <c r="M3" s="67">
        <f>Table245[[#This Row],[Yield Strength (kN)]]/Table245[[#This Row],[Mass (g)]]</f>
        <v>4.7721179624664885E-2</v>
      </c>
    </row>
    <row r="4" spans="1:13" x14ac:dyDescent="0.2">
      <c r="A4" s="50">
        <v>2</v>
      </c>
      <c r="B4" s="3" t="s">
        <v>15</v>
      </c>
      <c r="C4" s="4">
        <v>0</v>
      </c>
      <c r="D4" s="7">
        <v>2</v>
      </c>
      <c r="E4" s="9">
        <v>18</v>
      </c>
      <c r="F4" s="6">
        <v>1.5726</v>
      </c>
      <c r="G4" s="7">
        <v>121.17</v>
      </c>
      <c r="H4" s="32">
        <v>7.4200000000000002E-2</v>
      </c>
      <c r="I4" s="77">
        <v>0.75680000000000003</v>
      </c>
      <c r="J4" s="68">
        <f>Table245[[#This Row],[Ultimate Tensile Strength (kN)]]/Table245[[#This Row],[Mass (g)]]</f>
        <v>8.7366666666666662E-2</v>
      </c>
      <c r="K4" s="69">
        <f>Table245[[#This Row],[Modulus of Elasticity (MPa)]]/Table245[[#This Row],[Mass (g)]]</f>
        <v>6.7316666666666665</v>
      </c>
      <c r="L4" s="69">
        <f>Table245[[#This Row],[Modulus of Resilience (MPa)]]/Table245[[#This Row],[Mass (g)]]</f>
        <v>4.1222222222222224E-3</v>
      </c>
      <c r="M4" s="70">
        <f>Table245[[#This Row],[Yield Strength (kN)]]/Table245[[#This Row],[Mass (g)]]</f>
        <v>4.2044444444444447E-2</v>
      </c>
    </row>
    <row r="5" spans="1:13" x14ac:dyDescent="0.2">
      <c r="A5" s="50">
        <v>3</v>
      </c>
      <c r="B5" s="3" t="s">
        <v>15</v>
      </c>
      <c r="C5" s="4">
        <v>0</v>
      </c>
      <c r="D5" s="7">
        <v>3</v>
      </c>
      <c r="E5" s="9">
        <v>26.7</v>
      </c>
      <c r="F5" s="6">
        <v>2.6493000000000002</v>
      </c>
      <c r="G5" s="7">
        <v>228.77</v>
      </c>
      <c r="H5" s="32">
        <v>2.5899999999999999E-2</v>
      </c>
      <c r="I5" s="77">
        <v>0.59799999999999998</v>
      </c>
      <c r="J5" s="68">
        <f>Table245[[#This Row],[Ultimate Tensile Strength (kN)]]/Table245[[#This Row],[Mass (g)]]</f>
        <v>9.9224719101123612E-2</v>
      </c>
      <c r="K5" s="69">
        <f>Table245[[#This Row],[Modulus of Elasticity (MPa)]]/Table245[[#This Row],[Mass (g)]]</f>
        <v>8.5681647940074921</v>
      </c>
      <c r="L5" s="69">
        <f>Table245[[#This Row],[Modulus of Resilience (MPa)]]/Table245[[#This Row],[Mass (g)]]</f>
        <v>9.7003745318352064E-4</v>
      </c>
      <c r="M5" s="70">
        <f>Table245[[#This Row],[Yield Strength (kN)]]/Table245[[#This Row],[Mass (g)]]</f>
        <v>2.2397003745318351E-2</v>
      </c>
    </row>
    <row r="6" spans="1:13" x14ac:dyDescent="0.2">
      <c r="A6" s="50">
        <v>4</v>
      </c>
      <c r="B6" s="3" t="s">
        <v>17</v>
      </c>
      <c r="C6" s="4">
        <v>0.1</v>
      </c>
      <c r="D6" s="7">
        <v>2</v>
      </c>
      <c r="E6" s="9">
        <v>24.4</v>
      </c>
      <c r="F6" s="6">
        <v>2.0192000000000001</v>
      </c>
      <c r="G6" s="7">
        <v>176.33</v>
      </c>
      <c r="H6" s="32">
        <v>9.9400000000000002E-2</v>
      </c>
      <c r="I6" s="77">
        <v>1.0670999999999999</v>
      </c>
      <c r="J6" s="68">
        <f>Table245[[#This Row],[Ultimate Tensile Strength (kN)]]/Table245[[#This Row],[Mass (g)]]</f>
        <v>8.2754098360655753E-2</v>
      </c>
      <c r="K6" s="69">
        <f>Table245[[#This Row],[Modulus of Elasticity (MPa)]]/Table245[[#This Row],[Mass (g)]]</f>
        <v>7.2266393442622956</v>
      </c>
      <c r="L6" s="69">
        <f>Table245[[#This Row],[Modulus of Resilience (MPa)]]/Table245[[#This Row],[Mass (g)]]</f>
        <v>4.0737704918032787E-3</v>
      </c>
      <c r="M6" s="70">
        <f>Table245[[#This Row],[Yield Strength (kN)]]/Table245[[#This Row],[Mass (g)]]</f>
        <v>4.3733606557377049E-2</v>
      </c>
    </row>
    <row r="7" spans="1:13" x14ac:dyDescent="0.2">
      <c r="A7" s="50">
        <v>5</v>
      </c>
      <c r="B7" s="3" t="s">
        <v>17</v>
      </c>
      <c r="C7" s="4">
        <v>0.25</v>
      </c>
      <c r="D7" s="7">
        <v>2</v>
      </c>
      <c r="E7" s="9">
        <v>35.5</v>
      </c>
      <c r="F7" s="6">
        <v>2.2999999999999998</v>
      </c>
      <c r="G7" s="7">
        <v>198.2</v>
      </c>
      <c r="H7" s="32">
        <v>0.2044</v>
      </c>
      <c r="I7" s="77">
        <v>1.5927</v>
      </c>
      <c r="J7" s="68">
        <f>Table245[[#This Row],[Ultimate Tensile Strength (kN)]]/Table245[[#This Row],[Mass (g)]]</f>
        <v>6.4788732394366194E-2</v>
      </c>
      <c r="K7" s="69">
        <f>Table245[[#This Row],[Modulus of Elasticity (MPa)]]/Table245[[#This Row],[Mass (g)]]</f>
        <v>5.5830985915492954</v>
      </c>
      <c r="L7" s="69">
        <f>Table245[[#This Row],[Modulus of Resilience (MPa)]]/Table245[[#This Row],[Mass (g)]]</f>
        <v>5.757746478873239E-3</v>
      </c>
      <c r="M7" s="70">
        <f>Table245[[#This Row],[Yield Strength (kN)]]/Table245[[#This Row],[Mass (g)]]</f>
        <v>4.4864788732394363E-2</v>
      </c>
    </row>
    <row r="8" spans="1:13" x14ac:dyDescent="0.2">
      <c r="A8" s="50">
        <v>6</v>
      </c>
      <c r="B8" s="3" t="s">
        <v>18</v>
      </c>
      <c r="C8" s="4">
        <v>0.1</v>
      </c>
      <c r="D8" s="7">
        <v>2</v>
      </c>
      <c r="E8" s="9">
        <v>22.5</v>
      </c>
      <c r="F8" s="6">
        <v>1.7901</v>
      </c>
      <c r="G8" s="7">
        <v>162.5</v>
      </c>
      <c r="H8" s="32">
        <v>7.5200000000000003E-2</v>
      </c>
      <c r="I8" s="77">
        <v>0.85489999999999999</v>
      </c>
      <c r="J8" s="68">
        <f>Table245[[#This Row],[Ultimate Tensile Strength (kN)]]/Table245[[#This Row],[Mass (g)]]</f>
        <v>7.9560000000000006E-2</v>
      </c>
      <c r="K8" s="69">
        <f>Table245[[#This Row],[Modulus of Elasticity (MPa)]]/Table245[[#This Row],[Mass (g)]]</f>
        <v>7.2222222222222223</v>
      </c>
      <c r="L8" s="69">
        <f>Table245[[#This Row],[Modulus of Resilience (MPa)]]/Table245[[#This Row],[Mass (g)]]</f>
        <v>3.3422222222222226E-3</v>
      </c>
      <c r="M8" s="70">
        <f>Table245[[#This Row],[Yield Strength (kN)]]/Table245[[#This Row],[Mass (g)]]</f>
        <v>3.7995555555555553E-2</v>
      </c>
    </row>
    <row r="9" spans="1:13" x14ac:dyDescent="0.2">
      <c r="A9" s="50">
        <v>7</v>
      </c>
      <c r="B9" s="3" t="s">
        <v>18</v>
      </c>
      <c r="C9" s="4">
        <v>0.25</v>
      </c>
      <c r="D9" s="7">
        <v>2</v>
      </c>
      <c r="E9" s="9">
        <v>30.8</v>
      </c>
      <c r="F9" s="6">
        <v>2.2187999999999999</v>
      </c>
      <c r="G9" s="7">
        <v>196.94</v>
      </c>
      <c r="H9" s="32">
        <v>0.11849999999999999</v>
      </c>
      <c r="I9" s="77">
        <v>1.2203999999999999</v>
      </c>
      <c r="J9" s="68">
        <f>Table245[[#This Row],[Ultimate Tensile Strength (kN)]]/Table245[[#This Row],[Mass (g)]]</f>
        <v>7.2038961038961027E-2</v>
      </c>
      <c r="K9" s="69">
        <f>Table245[[#This Row],[Modulus of Elasticity (MPa)]]/Table245[[#This Row],[Mass (g)]]</f>
        <v>6.3941558441558444</v>
      </c>
      <c r="L9" s="69">
        <f>Table245[[#This Row],[Modulus of Resilience (MPa)]]/Table245[[#This Row],[Mass (g)]]</f>
        <v>3.8474025974025972E-3</v>
      </c>
      <c r="M9" s="70">
        <f>Table245[[#This Row],[Yield Strength (kN)]]/Table245[[#This Row],[Mass (g)]]</f>
        <v>3.9623376623376623E-2</v>
      </c>
    </row>
    <row r="10" spans="1:13" x14ac:dyDescent="0.2">
      <c r="A10" s="50">
        <v>8</v>
      </c>
      <c r="B10" s="3" t="s">
        <v>19</v>
      </c>
      <c r="C10" s="4">
        <v>0.1</v>
      </c>
      <c r="D10" s="7">
        <v>2</v>
      </c>
      <c r="E10" s="9">
        <v>22.6</v>
      </c>
      <c r="F10" s="6">
        <v>1.7519</v>
      </c>
      <c r="G10" s="7">
        <v>158.37</v>
      </c>
      <c r="H10" s="32">
        <v>4.0099999999999997E-2</v>
      </c>
      <c r="I10" s="77">
        <v>0.63260000000000005</v>
      </c>
      <c r="J10" s="68">
        <f>Table245[[#This Row],[Ultimate Tensile Strength (kN)]]/Table245[[#This Row],[Mass (g)]]</f>
        <v>7.7517699115044247E-2</v>
      </c>
      <c r="K10" s="69">
        <f>Table245[[#This Row],[Modulus of Elasticity (MPa)]]/Table245[[#This Row],[Mass (g)]]</f>
        <v>7.0075221238938052</v>
      </c>
      <c r="L10" s="69">
        <f>Table245[[#This Row],[Modulus of Resilience (MPa)]]/Table245[[#This Row],[Mass (g)]]</f>
        <v>1.7743362831858405E-3</v>
      </c>
      <c r="M10" s="70">
        <f>Table245[[#This Row],[Yield Strength (kN)]]/Table245[[#This Row],[Mass (g)]]</f>
        <v>2.7991150442477877E-2</v>
      </c>
    </row>
    <row r="11" spans="1:13" x14ac:dyDescent="0.2">
      <c r="A11" s="50">
        <v>9</v>
      </c>
      <c r="B11" s="3" t="s">
        <v>19</v>
      </c>
      <c r="C11" s="4">
        <v>0.25</v>
      </c>
      <c r="D11" s="7">
        <v>2</v>
      </c>
      <c r="E11" s="9">
        <v>30.5</v>
      </c>
      <c r="F11" s="6">
        <v>2.1164000000000001</v>
      </c>
      <c r="G11" s="7">
        <v>183.51</v>
      </c>
      <c r="H11" s="32">
        <v>0.12039999999999999</v>
      </c>
      <c r="I11" s="77">
        <v>1.1698999999999999</v>
      </c>
      <c r="J11" s="68">
        <f>Table245[[#This Row],[Ultimate Tensile Strength (kN)]]/Table245[[#This Row],[Mass (g)]]</f>
        <v>6.9390163934426236E-2</v>
      </c>
      <c r="K11" s="69">
        <f>Table245[[#This Row],[Modulus of Elasticity (MPa)]]/Table245[[#This Row],[Mass (g)]]</f>
        <v>6.0167213114754095</v>
      </c>
      <c r="L11" s="69">
        <f>Table245[[#This Row],[Modulus of Resilience (MPa)]]/Table245[[#This Row],[Mass (g)]]</f>
        <v>3.9475409836065576E-3</v>
      </c>
      <c r="M11" s="70">
        <f>Table245[[#This Row],[Yield Strength (kN)]]/Table245[[#This Row],[Mass (g)]]</f>
        <v>3.8357377049180325E-2</v>
      </c>
    </row>
    <row r="12" spans="1:13" x14ac:dyDescent="0.2">
      <c r="A12" s="50">
        <v>10</v>
      </c>
      <c r="B12" s="3" t="s">
        <v>17</v>
      </c>
      <c r="C12" s="4">
        <v>0.1</v>
      </c>
      <c r="D12" s="7">
        <v>3</v>
      </c>
      <c r="E12" s="9">
        <v>29.2</v>
      </c>
      <c r="F12" s="6">
        <v>2.3268</v>
      </c>
      <c r="G12" s="7">
        <v>216.39</v>
      </c>
      <c r="H12" s="32">
        <v>8.8499999999999995E-2</v>
      </c>
      <c r="I12" s="77">
        <v>1.1033999999999999</v>
      </c>
      <c r="J12" s="68">
        <f>Table245[[#This Row],[Ultimate Tensile Strength (kN)]]/Table245[[#This Row],[Mass (g)]]</f>
        <v>7.9684931506849313E-2</v>
      </c>
      <c r="K12" s="69">
        <f>Table245[[#This Row],[Modulus of Elasticity (MPa)]]/Table245[[#This Row],[Mass (g)]]</f>
        <v>7.4106164383561639</v>
      </c>
      <c r="L12" s="69">
        <f>Table245[[#This Row],[Modulus of Resilience (MPa)]]/Table245[[#This Row],[Mass (g)]]</f>
        <v>3.0308219178082191E-3</v>
      </c>
      <c r="M12" s="70">
        <f>Table245[[#This Row],[Yield Strength (kN)]]/Table245[[#This Row],[Mass (g)]]</f>
        <v>3.7787671232876713E-2</v>
      </c>
    </row>
    <row r="13" spans="1:13" x14ac:dyDescent="0.2">
      <c r="A13" s="50">
        <v>11</v>
      </c>
      <c r="B13" s="3" t="s">
        <v>17</v>
      </c>
      <c r="C13" s="4">
        <v>0.25</v>
      </c>
      <c r="D13" s="7">
        <v>3</v>
      </c>
      <c r="E13" s="9">
        <v>36.1</v>
      </c>
      <c r="F13" s="6">
        <v>2.5102000000000002</v>
      </c>
      <c r="G13" s="7">
        <v>222.88</v>
      </c>
      <c r="H13" s="32">
        <v>0.16589999999999999</v>
      </c>
      <c r="I13" s="77">
        <v>1.4641999999999999</v>
      </c>
      <c r="J13" s="68">
        <f>Table245[[#This Row],[Ultimate Tensile Strength (kN)]]/Table245[[#This Row],[Mass (g)]]</f>
        <v>6.9534626038781161E-2</v>
      </c>
      <c r="K13" s="69">
        <f>Table245[[#This Row],[Modulus of Elasticity (MPa)]]/Table245[[#This Row],[Mass (g)]]</f>
        <v>6.1739612188365651</v>
      </c>
      <c r="L13" s="69">
        <f>Table245[[#This Row],[Modulus of Resilience (MPa)]]/Table245[[#This Row],[Mass (g)]]</f>
        <v>4.5955678670360108E-3</v>
      </c>
      <c r="M13" s="70">
        <f>Table245[[#This Row],[Yield Strength (kN)]]/Table245[[#This Row],[Mass (g)]]</f>
        <v>4.0559556786703595E-2</v>
      </c>
    </row>
    <row r="14" spans="1:13" x14ac:dyDescent="0.2">
      <c r="A14" s="50">
        <v>12</v>
      </c>
      <c r="B14" s="3" t="s">
        <v>18</v>
      </c>
      <c r="C14" s="4">
        <v>0.1</v>
      </c>
      <c r="D14" s="7">
        <v>3</v>
      </c>
      <c r="E14" s="9">
        <v>28.9</v>
      </c>
      <c r="F14" s="6">
        <v>2.5668000000000002</v>
      </c>
      <c r="G14" s="7">
        <v>234.1</v>
      </c>
      <c r="H14" s="32">
        <v>7.2300000000000003E-2</v>
      </c>
      <c r="I14" s="77">
        <v>1.0248999999999999</v>
      </c>
      <c r="J14" s="68">
        <f>Table245[[#This Row],[Ultimate Tensile Strength (kN)]]/Table245[[#This Row],[Mass (g)]]</f>
        <v>8.88166089965398E-2</v>
      </c>
      <c r="K14" s="69">
        <f>Table245[[#This Row],[Modulus of Elasticity (MPa)]]/Table245[[#This Row],[Mass (g)]]</f>
        <v>8.1003460207612452</v>
      </c>
      <c r="L14" s="69">
        <f>Table245[[#This Row],[Modulus of Resilience (MPa)]]/Table245[[#This Row],[Mass (g)]]</f>
        <v>2.5017301038062286E-3</v>
      </c>
      <c r="M14" s="70">
        <f>Table245[[#This Row],[Yield Strength (kN)]]/Table245[[#This Row],[Mass (g)]]</f>
        <v>3.5463667820069204E-2</v>
      </c>
    </row>
    <row r="15" spans="1:13" x14ac:dyDescent="0.2">
      <c r="A15" s="50">
        <v>13</v>
      </c>
      <c r="B15" s="3" t="s">
        <v>18</v>
      </c>
      <c r="C15" s="4">
        <v>0.25</v>
      </c>
      <c r="D15" s="7">
        <v>3</v>
      </c>
      <c r="E15" s="9">
        <v>36.200000000000003</v>
      </c>
      <c r="F15" s="6">
        <v>2.9683999999999999</v>
      </c>
      <c r="G15" s="7">
        <v>297.60000000000002</v>
      </c>
      <c r="H15" s="32">
        <v>4.5499999999999999E-2</v>
      </c>
      <c r="I15" s="77">
        <v>0.92620000000000002</v>
      </c>
      <c r="J15" s="68">
        <f>Table245[[#This Row],[Ultimate Tensile Strength (kN)]]/Table245[[#This Row],[Mass (g)]]</f>
        <v>8.199999999999999E-2</v>
      </c>
      <c r="K15" s="69">
        <f>Table245[[#This Row],[Modulus of Elasticity (MPa)]]/Table245[[#This Row],[Mass (g)]]</f>
        <v>8.2209944751381219</v>
      </c>
      <c r="L15" s="69">
        <f>Table245[[#This Row],[Modulus of Resilience (MPa)]]/Table245[[#This Row],[Mass (g)]]</f>
        <v>1.2569060773480662E-3</v>
      </c>
      <c r="M15" s="70">
        <f>Table245[[#This Row],[Yield Strength (kN)]]/Table245[[#This Row],[Mass (g)]]</f>
        <v>2.5585635359116021E-2</v>
      </c>
    </row>
    <row r="16" spans="1:13" x14ac:dyDescent="0.2">
      <c r="A16" s="50">
        <v>14</v>
      </c>
      <c r="B16" s="3" t="s">
        <v>19</v>
      </c>
      <c r="C16" s="4">
        <v>0.1</v>
      </c>
      <c r="D16" s="7">
        <v>3</v>
      </c>
      <c r="E16" s="9">
        <v>29.2</v>
      </c>
      <c r="F16" s="6">
        <v>2.4034</v>
      </c>
      <c r="G16" s="7">
        <v>239.77</v>
      </c>
      <c r="H16" s="32">
        <v>4.5499999999999999E-2</v>
      </c>
      <c r="I16" s="77">
        <v>0.82030000000000003</v>
      </c>
      <c r="J16" s="68">
        <f>Table245[[#This Row],[Ultimate Tensile Strength (kN)]]/Table245[[#This Row],[Mass (g)]]</f>
        <v>8.230821917808219E-2</v>
      </c>
      <c r="K16" s="69">
        <f>Table245[[#This Row],[Modulus of Elasticity (MPa)]]/Table245[[#This Row],[Mass (g)]]</f>
        <v>8.2113013698630137</v>
      </c>
      <c r="L16" s="69">
        <f>Table245[[#This Row],[Modulus of Resilience (MPa)]]/Table245[[#This Row],[Mass (g)]]</f>
        <v>1.5582191780821918E-3</v>
      </c>
      <c r="M16" s="70">
        <f>Table245[[#This Row],[Yield Strength (kN)]]/Table245[[#This Row],[Mass (g)]]</f>
        <v>2.809246575342466E-2</v>
      </c>
    </row>
    <row r="17" spans="1:13" x14ac:dyDescent="0.2">
      <c r="A17" s="51">
        <v>15</v>
      </c>
      <c r="B17" s="19" t="s">
        <v>19</v>
      </c>
      <c r="C17" s="20">
        <v>0.25</v>
      </c>
      <c r="D17" s="21">
        <v>3</v>
      </c>
      <c r="E17" s="22">
        <v>35.9</v>
      </c>
      <c r="F17" s="23">
        <v>2.6421999999999999</v>
      </c>
      <c r="G17" s="21">
        <v>252.96</v>
      </c>
      <c r="H17" s="33">
        <v>7.9399999999999998E-2</v>
      </c>
      <c r="I17" s="78">
        <v>1.1318999999999999</v>
      </c>
      <c r="J17" s="71">
        <f>Table245[[#This Row],[Ultimate Tensile Strength (kN)]]/Table245[[#This Row],[Mass (g)]]</f>
        <v>7.359888579387186E-2</v>
      </c>
      <c r="K17" s="72">
        <f>Table245[[#This Row],[Modulus of Elasticity (MPa)]]/Table245[[#This Row],[Mass (g)]]</f>
        <v>7.0462395543175491</v>
      </c>
      <c r="L17" s="72">
        <f>Table245[[#This Row],[Modulus of Resilience (MPa)]]/Table245[[#This Row],[Mass (g)]]</f>
        <v>2.2116991643454037E-3</v>
      </c>
      <c r="M17" s="73">
        <f>Table245[[#This Row],[Yield Strength (kN)]]/Table245[[#This Row],[Mass (g)]]</f>
        <v>3.1529247910863506E-2</v>
      </c>
    </row>
    <row r="18" spans="1:13" x14ac:dyDescent="0.2">
      <c r="A18" s="119" t="s">
        <v>20</v>
      </c>
      <c r="B18" s="120"/>
      <c r="C18" s="120"/>
      <c r="D18" s="120"/>
      <c r="E18" s="120"/>
      <c r="F18" s="120"/>
      <c r="G18" s="120"/>
      <c r="H18" s="120"/>
      <c r="I18" s="120"/>
      <c r="J18" s="41"/>
      <c r="K18" s="38"/>
      <c r="L18" s="38"/>
      <c r="M18" s="39"/>
    </row>
    <row r="19" spans="1:13" s="2" customFormat="1" ht="68.25" x14ac:dyDescent="0.2">
      <c r="A19" s="52"/>
      <c r="B19" s="16" t="s">
        <v>3</v>
      </c>
      <c r="C19" s="106" t="s">
        <v>32</v>
      </c>
      <c r="D19" s="111"/>
      <c r="E19" s="17" t="s">
        <v>6</v>
      </c>
      <c r="F19" s="12" t="s">
        <v>7</v>
      </c>
      <c r="G19" s="12" t="s">
        <v>22</v>
      </c>
      <c r="H19" s="12" t="s">
        <v>23</v>
      </c>
      <c r="I19" s="13" t="s">
        <v>10</v>
      </c>
      <c r="J19" s="26" t="s">
        <v>30</v>
      </c>
      <c r="K19" s="24" t="s">
        <v>12</v>
      </c>
      <c r="L19" s="24" t="s">
        <v>13</v>
      </c>
      <c r="M19" s="25" t="s">
        <v>31</v>
      </c>
    </row>
    <row r="20" spans="1:13" x14ac:dyDescent="0.2">
      <c r="A20" s="54"/>
      <c r="B20" s="46" t="s">
        <v>17</v>
      </c>
      <c r="C20" s="108"/>
      <c r="D20" s="112"/>
      <c r="E20" s="9">
        <f>(SUM(E6:E7)+SUM(E12:E13))/4</f>
        <v>31.299999999999997</v>
      </c>
      <c r="F20" s="6">
        <f>(SUM(F6:F7)+SUM(F12:F13))/4</f>
        <v>2.28905</v>
      </c>
      <c r="G20" s="6">
        <f t="shared" ref="G20:I20" si="0">(SUM(G6:G7)+SUM(G12:G13))/4</f>
        <v>203.45</v>
      </c>
      <c r="H20" s="30">
        <f>(SUM(H6:H7)+SUM(H12:H13))/4</f>
        <v>0.13955000000000001</v>
      </c>
      <c r="I20" s="34">
        <f t="shared" si="0"/>
        <v>1.3068499999999998</v>
      </c>
      <c r="J20" s="74">
        <f>(SUM(J6:J7)+SUM(J12:J13))/4</f>
        <v>7.4190597075163109E-2</v>
      </c>
      <c r="K20" s="30">
        <f t="shared" ref="K20" si="1">(SUM(K6:K7)+SUM(K12:K13))/4</f>
        <v>6.5985788982510796</v>
      </c>
      <c r="L20" s="30">
        <f>(SUM(L6:L7)+SUM(L12:L13))/4</f>
        <v>4.3644766888801863E-3</v>
      </c>
      <c r="M20" s="34">
        <f t="shared" ref="M20" si="2">(SUM(M6:M7)+SUM(M12:M13))/4</f>
        <v>4.1736405827337925E-2</v>
      </c>
    </row>
    <row r="21" spans="1:13" x14ac:dyDescent="0.2">
      <c r="A21" s="54"/>
      <c r="B21" s="46" t="s">
        <v>18</v>
      </c>
      <c r="C21" s="108"/>
      <c r="D21" s="112"/>
      <c r="E21" s="9">
        <f>(E8+E9+E14+E15)/4</f>
        <v>29.599999999999998</v>
      </c>
      <c r="F21" s="6">
        <f>(F8+F9+F14+F15)/4</f>
        <v>2.3860250000000001</v>
      </c>
      <c r="G21" s="6">
        <f t="shared" ref="G21:I21" si="3">(G8+G9+G14+G15)/4</f>
        <v>222.785</v>
      </c>
      <c r="H21" s="30">
        <f t="shared" si="3"/>
        <v>7.7875E-2</v>
      </c>
      <c r="I21" s="34">
        <f t="shared" si="3"/>
        <v>1.0065999999999999</v>
      </c>
      <c r="J21" s="74">
        <f>(J8+J9+J14+J15)/4</f>
        <v>8.0603892508875202E-2</v>
      </c>
      <c r="K21" s="30">
        <f t="shared" ref="K21:M21" si="4">(K8+K9+K14+K15)/4</f>
        <v>7.484429640569358</v>
      </c>
      <c r="L21" s="30">
        <f t="shared" si="4"/>
        <v>2.7370652501947784E-3</v>
      </c>
      <c r="M21" s="34">
        <f t="shared" si="4"/>
        <v>3.4667058839529349E-2</v>
      </c>
    </row>
    <row r="22" spans="1:13" x14ac:dyDescent="0.2">
      <c r="A22" s="56"/>
      <c r="B22" s="49" t="s">
        <v>19</v>
      </c>
      <c r="C22" s="110"/>
      <c r="D22" s="113"/>
      <c r="E22" s="14">
        <f>(E10+E11+E16+E17)/4</f>
        <v>29.549999999999997</v>
      </c>
      <c r="F22" s="15">
        <f>(F10+F11+F16+F17)/4</f>
        <v>2.228475</v>
      </c>
      <c r="G22" s="15">
        <f t="shared" ref="G22:I22" si="5">(G10+G11+G16+G17)/4</f>
        <v>208.6525</v>
      </c>
      <c r="H22" s="36">
        <f t="shared" si="5"/>
        <v>7.1349999999999997E-2</v>
      </c>
      <c r="I22" s="37">
        <f t="shared" si="5"/>
        <v>0.93867499999999993</v>
      </c>
      <c r="J22" s="75">
        <f>(J10+J11+J16+J17)/4</f>
        <v>7.5703742005356137E-2</v>
      </c>
      <c r="K22" s="31">
        <f t="shared" ref="K22:M22" si="6">(K10+K11+K16+K17)/4</f>
        <v>7.0704460898874446</v>
      </c>
      <c r="L22" s="31">
        <f t="shared" si="6"/>
        <v>2.3729489023049987E-3</v>
      </c>
      <c r="M22" s="35">
        <f t="shared" si="6"/>
        <v>3.1492560288986594E-2</v>
      </c>
    </row>
    <row r="23" spans="1:13" x14ac:dyDescent="0.2">
      <c r="A23" s="121" t="s">
        <v>24</v>
      </c>
      <c r="B23" s="122"/>
      <c r="C23" s="122"/>
      <c r="D23" s="122"/>
      <c r="E23" s="122"/>
      <c r="F23" s="122"/>
      <c r="G23" s="122"/>
      <c r="H23" s="122"/>
      <c r="I23" s="122"/>
      <c r="J23" s="41"/>
      <c r="K23" s="38"/>
      <c r="L23" s="38"/>
      <c r="M23" s="39"/>
    </row>
    <row r="24" spans="1:13" ht="68.25" x14ac:dyDescent="0.2">
      <c r="A24" s="52"/>
      <c r="B24" s="53"/>
      <c r="C24" s="16" t="s">
        <v>4</v>
      </c>
      <c r="D24" s="111" t="s">
        <v>25</v>
      </c>
      <c r="E24" s="17" t="s">
        <v>6</v>
      </c>
      <c r="F24" s="12" t="s">
        <v>7</v>
      </c>
      <c r="G24" s="12" t="s">
        <v>22</v>
      </c>
      <c r="H24" s="12" t="s">
        <v>23</v>
      </c>
      <c r="I24" s="13" t="s">
        <v>10</v>
      </c>
      <c r="J24" s="26" t="s">
        <v>30</v>
      </c>
      <c r="K24" s="24" t="s">
        <v>12</v>
      </c>
      <c r="L24" s="24" t="s">
        <v>13</v>
      </c>
      <c r="M24" s="25" t="s">
        <v>31</v>
      </c>
    </row>
    <row r="25" spans="1:13" x14ac:dyDescent="0.2">
      <c r="A25" s="54"/>
      <c r="B25" s="55"/>
      <c r="C25" s="47">
        <v>0</v>
      </c>
      <c r="D25" s="112"/>
      <c r="E25" s="9">
        <f t="shared" ref="E25:M25" si="7">(SUM(E4:E5))/2</f>
        <v>22.35</v>
      </c>
      <c r="F25" s="6">
        <f t="shared" si="7"/>
        <v>2.1109499999999999</v>
      </c>
      <c r="G25" s="6">
        <f t="shared" si="7"/>
        <v>174.97</v>
      </c>
      <c r="H25" s="30">
        <f t="shared" si="7"/>
        <v>5.0049999999999997E-2</v>
      </c>
      <c r="I25" s="34">
        <f t="shared" si="7"/>
        <v>0.6774</v>
      </c>
      <c r="J25" s="74">
        <f t="shared" si="7"/>
        <v>9.3295692883895137E-2</v>
      </c>
      <c r="K25" s="30">
        <f t="shared" si="7"/>
        <v>7.6499157303370797</v>
      </c>
      <c r="L25" s="30">
        <f t="shared" si="7"/>
        <v>2.5461298377028718E-3</v>
      </c>
      <c r="M25" s="34">
        <f t="shared" si="7"/>
        <v>3.2220724094881401E-2</v>
      </c>
    </row>
    <row r="26" spans="1:13" x14ac:dyDescent="0.2">
      <c r="A26" s="54"/>
      <c r="B26" s="55"/>
      <c r="C26" s="47">
        <v>0.1</v>
      </c>
      <c r="D26" s="112"/>
      <c r="E26" s="9">
        <f t="shared" ref="E26" si="8">(E6+E8+E10+E12+E14+E16)/6</f>
        <v>26.133333333333329</v>
      </c>
      <c r="F26" s="6">
        <f t="shared" ref="F26:I27" si="9">(F6+F8+F10+F12+F14+F16)/6</f>
        <v>2.1430333333333333</v>
      </c>
      <c r="G26" s="6">
        <f t="shared" si="9"/>
        <v>197.91</v>
      </c>
      <c r="H26" s="30">
        <f t="shared" si="9"/>
        <v>7.0166666666666669E-2</v>
      </c>
      <c r="I26" s="34">
        <f t="shared" si="9"/>
        <v>0.9171999999999999</v>
      </c>
      <c r="J26" s="74">
        <f t="shared" ref="J26:M26" si="10">(J6+J8+J10+J12+J14+J16)/6</f>
        <v>8.1773592859528552E-2</v>
      </c>
      <c r="K26" s="30">
        <f t="shared" si="10"/>
        <v>7.5297745865597916</v>
      </c>
      <c r="L26" s="30">
        <f t="shared" si="10"/>
        <v>2.7135166994846638E-3</v>
      </c>
      <c r="M26" s="34">
        <f t="shared" si="10"/>
        <v>3.5177352893630179E-2</v>
      </c>
    </row>
    <row r="27" spans="1:13" x14ac:dyDescent="0.2">
      <c r="A27" s="54"/>
      <c r="B27" s="55"/>
      <c r="C27" s="47">
        <v>0.25</v>
      </c>
      <c r="D27" s="112"/>
      <c r="E27" s="9">
        <f t="shared" ref="E27" si="11">(E7+E9+E11+E13+E15+E17)/6</f>
        <v>34.166666666666671</v>
      </c>
      <c r="F27" s="6">
        <f t="shared" si="9"/>
        <v>2.4593333333333329</v>
      </c>
      <c r="G27" s="6">
        <f t="shared" si="9"/>
        <v>225.34833333333336</v>
      </c>
      <c r="H27" s="30">
        <f t="shared" si="9"/>
        <v>0.12235</v>
      </c>
      <c r="I27" s="34">
        <f t="shared" si="9"/>
        <v>1.2508833333333331</v>
      </c>
      <c r="J27" s="74">
        <f t="shared" ref="J27:M27" si="12">(J7+J9+J11+J13+J15+J17)/6</f>
        <v>7.1891894866734418E-2</v>
      </c>
      <c r="K27" s="30">
        <f t="shared" si="12"/>
        <v>6.5725284992454647</v>
      </c>
      <c r="L27" s="30">
        <f t="shared" si="12"/>
        <v>3.6028105281019789E-3</v>
      </c>
      <c r="M27" s="34">
        <f t="shared" si="12"/>
        <v>3.6753330410272407E-2</v>
      </c>
    </row>
    <row r="28" spans="1:13" x14ac:dyDescent="0.2">
      <c r="A28" s="56"/>
      <c r="B28" s="57"/>
      <c r="C28" s="44">
        <v>1</v>
      </c>
      <c r="D28" s="113"/>
      <c r="E28" s="14">
        <f t="shared" ref="E28:M28" si="13">E3</f>
        <v>74.599999999999994</v>
      </c>
      <c r="F28" s="15">
        <f t="shared" si="13"/>
        <v>9.6692999999999998</v>
      </c>
      <c r="G28" s="15">
        <f t="shared" si="13"/>
        <v>713.07</v>
      </c>
      <c r="H28" s="36">
        <f t="shared" si="13"/>
        <v>0.28489999999999999</v>
      </c>
      <c r="I28" s="37">
        <f t="shared" si="13"/>
        <v>3.56</v>
      </c>
      <c r="J28" s="76">
        <f t="shared" si="13"/>
        <v>0.1296152815013405</v>
      </c>
      <c r="K28" s="36">
        <f t="shared" si="13"/>
        <v>9.558579088471852</v>
      </c>
      <c r="L28" s="36">
        <f t="shared" si="13"/>
        <v>3.819034852546917E-3</v>
      </c>
      <c r="M28" s="37">
        <f t="shared" si="13"/>
        <v>4.7721179624664885E-2</v>
      </c>
    </row>
    <row r="29" spans="1:13" x14ac:dyDescent="0.2">
      <c r="A29" s="121" t="s">
        <v>27</v>
      </c>
      <c r="B29" s="122"/>
      <c r="C29" s="122"/>
      <c r="D29" s="122"/>
      <c r="E29" s="122"/>
      <c r="F29" s="122"/>
      <c r="G29" s="122"/>
      <c r="H29" s="122"/>
      <c r="I29" s="122"/>
      <c r="J29" s="42"/>
      <c r="K29" s="43"/>
      <c r="L29" s="43"/>
      <c r="M29" s="40"/>
    </row>
    <row r="30" spans="1:13" ht="68.25" x14ac:dyDescent="0.2">
      <c r="A30" s="105" t="s">
        <v>28</v>
      </c>
      <c r="B30" s="106"/>
      <c r="C30" s="106"/>
      <c r="D30" s="16" t="s">
        <v>5</v>
      </c>
      <c r="E30" s="17" t="s">
        <v>6</v>
      </c>
      <c r="F30" s="12" t="s">
        <v>7</v>
      </c>
      <c r="G30" s="12" t="s">
        <v>22</v>
      </c>
      <c r="H30" s="12" t="s">
        <v>23</v>
      </c>
      <c r="I30" s="13" t="s">
        <v>10</v>
      </c>
      <c r="J30" s="18" t="s">
        <v>30</v>
      </c>
      <c r="K30" s="12" t="s">
        <v>12</v>
      </c>
      <c r="L30" s="12" t="s">
        <v>13</v>
      </c>
      <c r="M30" s="13" t="s">
        <v>31</v>
      </c>
    </row>
    <row r="31" spans="1:13" x14ac:dyDescent="0.2">
      <c r="A31" s="107"/>
      <c r="B31" s="108"/>
      <c r="C31" s="108"/>
      <c r="D31" s="48">
        <v>2</v>
      </c>
      <c r="E31" s="9">
        <f t="shared" ref="E31:M31" si="14">(E4+SUM(E6:E11))/7</f>
        <v>26.328571428571429</v>
      </c>
      <c r="F31" s="6">
        <f t="shared" si="14"/>
        <v>1.9669999999999999</v>
      </c>
      <c r="G31" s="6">
        <f t="shared" si="14"/>
        <v>171.00285714285715</v>
      </c>
      <c r="H31" s="30">
        <f t="shared" si="14"/>
        <v>0.1046</v>
      </c>
      <c r="I31" s="34">
        <f t="shared" si="14"/>
        <v>1.0420571428571428</v>
      </c>
      <c r="J31" s="74">
        <f t="shared" si="14"/>
        <v>7.6202331644302887E-2</v>
      </c>
      <c r="K31" s="30">
        <f t="shared" si="14"/>
        <v>6.5974323006036482</v>
      </c>
      <c r="L31" s="30">
        <f t="shared" si="14"/>
        <v>3.8378916113308505E-3</v>
      </c>
      <c r="M31" s="34">
        <f t="shared" si="14"/>
        <v>3.9230042772115177E-2</v>
      </c>
    </row>
    <row r="32" spans="1:13" x14ac:dyDescent="0.2">
      <c r="A32" s="109"/>
      <c r="B32" s="110"/>
      <c r="C32" s="110"/>
      <c r="D32" s="45">
        <v>3</v>
      </c>
      <c r="E32" s="14">
        <f t="shared" ref="E32:M32" si="15">(E5+SUM(E12:E17))/7</f>
        <v>31.742857142857137</v>
      </c>
      <c r="F32" s="15">
        <f t="shared" si="15"/>
        <v>2.5810142857142857</v>
      </c>
      <c r="G32" s="15">
        <f t="shared" si="15"/>
        <v>241.78142857142856</v>
      </c>
      <c r="H32" s="36">
        <f t="shared" si="15"/>
        <v>7.4714285714285719E-2</v>
      </c>
      <c r="I32" s="37">
        <f t="shared" si="15"/>
        <v>1.0098428571428568</v>
      </c>
      <c r="J32" s="76">
        <f t="shared" si="15"/>
        <v>8.2166855802178279E-2</v>
      </c>
      <c r="K32" s="36">
        <f t="shared" si="15"/>
        <v>7.6759462673257364</v>
      </c>
      <c r="L32" s="36">
        <f t="shared" si="15"/>
        <v>2.3035688230870913E-3</v>
      </c>
      <c r="M32" s="37">
        <f t="shared" si="15"/>
        <v>3.1630749801196005E-2</v>
      </c>
    </row>
  </sheetData>
  <mergeCells count="8">
    <mergeCell ref="J1:M1"/>
    <mergeCell ref="C19:D22"/>
    <mergeCell ref="D24:D28"/>
    <mergeCell ref="A30:C32"/>
    <mergeCell ref="A1:I1"/>
    <mergeCell ref="A18:I18"/>
    <mergeCell ref="A23:I23"/>
    <mergeCell ref="A29:I2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0150-3C56-4DA2-87D8-B2212D7B72B8}">
  <dimension ref="A1:M32"/>
  <sheetViews>
    <sheetView workbookViewId="0">
      <selection activeCell="A2" sqref="A2:I7"/>
    </sheetView>
  </sheetViews>
  <sheetFormatPr defaultRowHeight="15" x14ac:dyDescent="0.2"/>
  <cols>
    <col min="1" max="1" width="11.1640625" bestFit="1" customWidth="1"/>
    <col min="2" max="2" width="9.4140625" bestFit="1" customWidth="1"/>
    <col min="3" max="3" width="13.5859375" bestFit="1" customWidth="1"/>
    <col min="4" max="4" width="11.1640625" style="1" bestFit="1" customWidth="1"/>
    <col min="5" max="5" width="9.4140625" style="10" bestFit="1" customWidth="1"/>
    <col min="6" max="6" width="13.5859375" style="1" customWidth="1"/>
    <col min="7" max="7" width="11.1640625" style="1" bestFit="1" customWidth="1"/>
    <col min="8" max="8" width="9.4140625" style="1" bestFit="1" customWidth="1"/>
    <col min="9" max="9" width="13.5859375" customWidth="1"/>
    <col min="10" max="13" width="11.296875" bestFit="1" customWidth="1"/>
  </cols>
  <sheetData>
    <row r="1" spans="1:13" ht="15.75" thickBot="1" x14ac:dyDescent="0.25">
      <c r="A1" s="81"/>
      <c r="B1" s="81"/>
      <c r="C1" s="81"/>
      <c r="D1" s="81"/>
      <c r="E1" s="81"/>
      <c r="F1" s="81"/>
      <c r="G1" s="81"/>
      <c r="H1" s="81"/>
      <c r="I1" s="81"/>
      <c r="J1" s="89"/>
      <c r="K1" s="89"/>
      <c r="L1" s="89"/>
      <c r="M1" s="89"/>
    </row>
    <row r="2" spans="1:13" s="1" customFormat="1" ht="27.75" x14ac:dyDescent="0.2">
      <c r="A2" s="103" t="s">
        <v>2</v>
      </c>
      <c r="B2" s="101" t="s">
        <v>3</v>
      </c>
      <c r="C2" s="102" t="s">
        <v>4</v>
      </c>
      <c r="D2" s="103" t="s">
        <v>2</v>
      </c>
      <c r="E2" s="101" t="s">
        <v>3</v>
      </c>
      <c r="F2" s="102" t="s">
        <v>4</v>
      </c>
      <c r="G2" s="103" t="s">
        <v>2</v>
      </c>
      <c r="H2" s="101" t="s">
        <v>3</v>
      </c>
      <c r="I2" s="102" t="s">
        <v>4</v>
      </c>
      <c r="J2" s="83"/>
      <c r="K2" s="83"/>
      <c r="L2" s="83"/>
      <c r="M2" s="83"/>
    </row>
    <row r="3" spans="1:13" x14ac:dyDescent="0.2">
      <c r="A3" s="96">
        <v>1</v>
      </c>
      <c r="B3" s="95" t="s">
        <v>15</v>
      </c>
      <c r="C3" s="97">
        <v>1</v>
      </c>
      <c r="D3" s="96">
        <v>6</v>
      </c>
      <c r="E3" s="95" t="s">
        <v>18</v>
      </c>
      <c r="F3" s="97">
        <v>0.1</v>
      </c>
      <c r="G3" s="96">
        <v>11</v>
      </c>
      <c r="H3" s="95" t="s">
        <v>17</v>
      </c>
      <c r="I3" s="97">
        <v>0.25</v>
      </c>
      <c r="J3" s="29"/>
      <c r="K3" s="29"/>
      <c r="L3" s="29"/>
      <c r="M3" s="29"/>
    </row>
    <row r="4" spans="1:13" x14ac:dyDescent="0.2">
      <c r="A4" s="96">
        <v>2</v>
      </c>
      <c r="B4" s="95" t="s">
        <v>15</v>
      </c>
      <c r="C4" s="97">
        <v>0</v>
      </c>
      <c r="D4" s="96">
        <v>7</v>
      </c>
      <c r="E4" s="95" t="s">
        <v>18</v>
      </c>
      <c r="F4" s="97">
        <v>0.25</v>
      </c>
      <c r="G4" s="96">
        <v>12</v>
      </c>
      <c r="H4" s="95" t="s">
        <v>18</v>
      </c>
      <c r="I4" s="97">
        <v>0.1</v>
      </c>
      <c r="J4" s="29"/>
      <c r="K4" s="29"/>
      <c r="L4" s="29"/>
      <c r="M4" s="29"/>
    </row>
    <row r="5" spans="1:13" x14ac:dyDescent="0.2">
      <c r="A5" s="96">
        <v>3</v>
      </c>
      <c r="B5" s="95" t="s">
        <v>15</v>
      </c>
      <c r="C5" s="97">
        <v>0</v>
      </c>
      <c r="D5" s="96">
        <v>8</v>
      </c>
      <c r="E5" s="95" t="s">
        <v>19</v>
      </c>
      <c r="F5" s="97">
        <v>0.1</v>
      </c>
      <c r="G5" s="96">
        <v>13</v>
      </c>
      <c r="H5" s="95" t="s">
        <v>18</v>
      </c>
      <c r="I5" s="97">
        <v>0.25</v>
      </c>
      <c r="J5" s="29"/>
      <c r="K5" s="29"/>
      <c r="L5" s="29"/>
      <c r="M5" s="29"/>
    </row>
    <row r="6" spans="1:13" x14ac:dyDescent="0.2">
      <c r="A6" s="96">
        <v>4</v>
      </c>
      <c r="B6" s="95" t="s">
        <v>17</v>
      </c>
      <c r="C6" s="97">
        <v>0.1</v>
      </c>
      <c r="D6" s="96">
        <v>9</v>
      </c>
      <c r="E6" s="95" t="s">
        <v>19</v>
      </c>
      <c r="F6" s="97">
        <v>0.25</v>
      </c>
      <c r="G6" s="96">
        <v>14</v>
      </c>
      <c r="H6" s="95" t="s">
        <v>19</v>
      </c>
      <c r="I6" s="97">
        <v>0.1</v>
      </c>
      <c r="J6" s="29"/>
      <c r="K6" s="29"/>
      <c r="L6" s="29"/>
      <c r="M6" s="29"/>
    </row>
    <row r="7" spans="1:13" ht="15.75" thickBot="1" x14ac:dyDescent="0.25">
      <c r="A7" s="98">
        <v>5</v>
      </c>
      <c r="B7" s="99" t="s">
        <v>17</v>
      </c>
      <c r="C7" s="100">
        <v>0.25</v>
      </c>
      <c r="D7" s="98">
        <v>10</v>
      </c>
      <c r="E7" s="99" t="s">
        <v>17</v>
      </c>
      <c r="F7" s="100">
        <v>0.1</v>
      </c>
      <c r="G7" s="98">
        <v>15</v>
      </c>
      <c r="H7" s="99" t="s">
        <v>19</v>
      </c>
      <c r="I7" s="100">
        <v>0.25</v>
      </c>
      <c r="J7" s="29"/>
      <c r="K7" s="29"/>
      <c r="L7" s="29"/>
      <c r="M7" s="29"/>
    </row>
    <row r="8" spans="1:13" x14ac:dyDescent="0.2">
      <c r="G8" s="90"/>
      <c r="H8" s="93"/>
      <c r="I8" s="94"/>
      <c r="J8" s="29"/>
      <c r="K8" s="29"/>
      <c r="L8" s="29"/>
      <c r="M8" s="29"/>
    </row>
    <row r="9" spans="1:13" x14ac:dyDescent="0.2">
      <c r="G9" s="90"/>
      <c r="H9" s="93"/>
      <c r="I9" s="94"/>
      <c r="J9" s="29"/>
      <c r="K9" s="29"/>
      <c r="L9" s="29"/>
      <c r="M9" s="29"/>
    </row>
    <row r="10" spans="1:13" x14ac:dyDescent="0.2">
      <c r="G10" s="90"/>
      <c r="H10" s="93"/>
      <c r="I10" s="94"/>
      <c r="J10" s="29"/>
      <c r="K10" s="29"/>
      <c r="L10" s="29"/>
      <c r="M10" s="29"/>
    </row>
    <row r="11" spans="1:13" x14ac:dyDescent="0.2">
      <c r="G11" s="90"/>
      <c r="H11" s="93"/>
      <c r="I11" s="94"/>
      <c r="J11" s="29"/>
      <c r="K11" s="29"/>
      <c r="L11" s="29"/>
      <c r="M11" s="29"/>
    </row>
    <row r="12" spans="1:13" x14ac:dyDescent="0.2">
      <c r="G12" s="90"/>
      <c r="H12" s="93"/>
      <c r="I12" s="94"/>
      <c r="J12" s="29"/>
      <c r="K12" s="29"/>
      <c r="L12" s="29"/>
      <c r="M12" s="29"/>
    </row>
    <row r="13" spans="1:13" x14ac:dyDescent="0.2">
      <c r="D13" s="90"/>
      <c r="E13" s="91"/>
      <c r="F13" s="92"/>
      <c r="G13" s="90"/>
      <c r="H13" s="93"/>
      <c r="I13" s="94"/>
      <c r="J13" s="29"/>
      <c r="K13" s="29"/>
      <c r="L13" s="29"/>
      <c r="M13" s="29"/>
    </row>
    <row r="14" spans="1:13" x14ac:dyDescent="0.2">
      <c r="D14" s="90"/>
      <c r="E14" s="91"/>
      <c r="F14" s="92"/>
      <c r="G14" s="90"/>
      <c r="H14" s="93"/>
      <c r="I14" s="94"/>
      <c r="J14" s="29"/>
      <c r="K14" s="29"/>
      <c r="L14" s="29"/>
      <c r="M14" s="29"/>
    </row>
    <row r="15" spans="1:13" x14ac:dyDescent="0.2">
      <c r="D15" s="90"/>
      <c r="E15" s="91"/>
      <c r="F15" s="92"/>
      <c r="G15" s="90"/>
      <c r="H15" s="93"/>
      <c r="I15" s="94"/>
      <c r="J15" s="29"/>
      <c r="K15" s="29"/>
      <c r="L15" s="29"/>
      <c r="M15" s="29"/>
    </row>
    <row r="16" spans="1:13" x14ac:dyDescent="0.2">
      <c r="D16" s="90"/>
      <c r="E16" s="91"/>
      <c r="F16" s="92"/>
      <c r="G16" s="90"/>
      <c r="H16" s="93"/>
      <c r="I16" s="94"/>
      <c r="J16" s="29"/>
      <c r="K16" s="29"/>
      <c r="L16" s="29"/>
      <c r="M16" s="29"/>
    </row>
    <row r="17" spans="1:13" x14ac:dyDescent="0.2">
      <c r="D17" s="90"/>
      <c r="E17" s="91"/>
      <c r="F17" s="92"/>
      <c r="G17" s="90"/>
      <c r="H17" s="93"/>
      <c r="I17" s="94"/>
      <c r="J17" s="29"/>
      <c r="K17" s="29"/>
      <c r="L17" s="29"/>
      <c r="M17" s="29"/>
    </row>
    <row r="18" spans="1:13" x14ac:dyDescent="0.2">
      <c r="A18" s="81"/>
      <c r="B18" s="81"/>
      <c r="C18" s="81"/>
      <c r="D18" s="81"/>
      <c r="E18" s="81"/>
      <c r="F18" s="81"/>
      <c r="G18" s="81"/>
      <c r="H18" s="81"/>
      <c r="I18" s="81"/>
      <c r="J18" s="84"/>
      <c r="K18" s="84"/>
      <c r="L18" s="84"/>
      <c r="M18" s="84"/>
    </row>
    <row r="19" spans="1:13" s="2" customFormat="1" ht="60" customHeight="1" x14ac:dyDescent="0.2">
      <c r="A19" s="87"/>
      <c r="C19" s="85"/>
      <c r="D19" s="85"/>
      <c r="E19" s="82"/>
    </row>
    <row r="20" spans="1:13" ht="15" customHeight="1" x14ac:dyDescent="0.2">
      <c r="B20" s="84"/>
      <c r="C20" s="85"/>
      <c r="D20" s="85"/>
      <c r="F20" s="27"/>
      <c r="G20" s="27"/>
      <c r="H20" s="86"/>
      <c r="I20" s="86"/>
      <c r="J20" s="86"/>
      <c r="K20" s="86"/>
      <c r="L20" s="86"/>
      <c r="M20" s="86"/>
    </row>
    <row r="21" spans="1:13" ht="15" customHeight="1" x14ac:dyDescent="0.2">
      <c r="B21" s="84"/>
      <c r="C21" s="85"/>
      <c r="D21" s="85"/>
      <c r="F21" s="27"/>
      <c r="G21" s="27"/>
      <c r="H21" s="86"/>
      <c r="I21" s="86"/>
      <c r="J21" s="86"/>
      <c r="K21" s="86"/>
      <c r="L21" s="86"/>
      <c r="M21" s="86"/>
    </row>
    <row r="22" spans="1:13" ht="15.75" customHeight="1" x14ac:dyDescent="0.2">
      <c r="B22" s="84"/>
      <c r="C22" s="85"/>
      <c r="D22" s="85"/>
      <c r="F22" s="27"/>
      <c r="G22" s="27"/>
      <c r="H22" s="86"/>
      <c r="I22" s="86"/>
      <c r="J22" s="86"/>
      <c r="K22" s="86"/>
      <c r="L22" s="86"/>
      <c r="M22" s="86"/>
    </row>
    <row r="23" spans="1:13" x14ac:dyDescent="0.2">
      <c r="A23" s="81"/>
      <c r="B23" s="81"/>
      <c r="C23" s="81"/>
      <c r="D23" s="81"/>
      <c r="E23" s="81"/>
      <c r="F23" s="81"/>
      <c r="G23" s="81"/>
      <c r="H23" s="81"/>
      <c r="I23" s="81"/>
      <c r="J23" s="84"/>
      <c r="K23" s="84"/>
      <c r="L23" s="84"/>
      <c r="M23" s="84"/>
    </row>
    <row r="24" spans="1:13" ht="60" customHeight="1" x14ac:dyDescent="0.2">
      <c r="A24" s="87"/>
      <c r="B24" s="2"/>
      <c r="C24" s="2"/>
      <c r="D24" s="85"/>
      <c r="E24" s="82"/>
      <c r="F24" s="2"/>
      <c r="G24" s="2"/>
      <c r="H24" s="2"/>
      <c r="I24" s="2"/>
      <c r="J24" s="2"/>
      <c r="K24" s="2"/>
      <c r="L24" s="2"/>
      <c r="M24" s="2"/>
    </row>
    <row r="25" spans="1:13" ht="15" customHeight="1" x14ac:dyDescent="0.2">
      <c r="C25" s="88"/>
      <c r="D25" s="85"/>
      <c r="F25" s="27"/>
      <c r="G25" s="27"/>
      <c r="H25" s="86"/>
      <c r="I25" s="86"/>
      <c r="J25" s="86"/>
      <c r="K25" s="86"/>
      <c r="L25" s="86"/>
      <c r="M25" s="86"/>
    </row>
    <row r="26" spans="1:13" ht="15" customHeight="1" x14ac:dyDescent="0.2">
      <c r="C26" s="88"/>
      <c r="D26" s="85"/>
      <c r="F26" s="27"/>
      <c r="G26" s="27"/>
      <c r="H26" s="86"/>
      <c r="I26" s="86"/>
      <c r="J26" s="86"/>
      <c r="K26" s="86"/>
      <c r="L26" s="86"/>
      <c r="M26" s="86"/>
    </row>
    <row r="27" spans="1:13" ht="15" customHeight="1" x14ac:dyDescent="0.2">
      <c r="C27" s="88"/>
      <c r="D27" s="85"/>
      <c r="F27" s="27"/>
      <c r="G27" s="27"/>
      <c r="H27" s="86"/>
      <c r="I27" s="86"/>
      <c r="J27" s="86"/>
      <c r="K27" s="86"/>
      <c r="L27" s="86"/>
      <c r="M27" s="86"/>
    </row>
    <row r="28" spans="1:13" ht="15.75" customHeight="1" x14ac:dyDescent="0.2">
      <c r="C28" s="88"/>
      <c r="D28" s="85"/>
      <c r="F28" s="27"/>
      <c r="G28" s="27"/>
      <c r="H28" s="86"/>
      <c r="I28" s="86"/>
      <c r="J28" s="86"/>
      <c r="K28" s="86"/>
      <c r="L28" s="86"/>
      <c r="M28" s="86"/>
    </row>
    <row r="29" spans="1:13" x14ac:dyDescent="0.2">
      <c r="A29" s="81"/>
      <c r="B29" s="81"/>
      <c r="C29" s="81"/>
      <c r="D29" s="81"/>
      <c r="E29" s="81"/>
      <c r="F29" s="81"/>
      <c r="G29" s="81"/>
      <c r="H29" s="81"/>
      <c r="I29" s="81"/>
      <c r="J29" s="84"/>
      <c r="K29" s="84"/>
      <c r="L29" s="84"/>
      <c r="M29" s="84"/>
    </row>
    <row r="30" spans="1:13" ht="57.75" customHeight="1" x14ac:dyDescent="0.2">
      <c r="A30" s="85"/>
      <c r="B30" s="85"/>
      <c r="C30" s="85"/>
      <c r="D30" s="2"/>
      <c r="E30" s="82"/>
      <c r="F30" s="2"/>
      <c r="G30" s="2"/>
      <c r="H30" s="2"/>
      <c r="I30" s="2"/>
      <c r="J30" s="2"/>
      <c r="K30" s="2"/>
      <c r="L30" s="2"/>
      <c r="M30" s="2"/>
    </row>
    <row r="31" spans="1:13" ht="15" customHeight="1" x14ac:dyDescent="0.2">
      <c r="A31" s="85"/>
      <c r="B31" s="85"/>
      <c r="C31" s="85"/>
      <c r="D31" s="2"/>
      <c r="F31" s="27"/>
      <c r="G31" s="27"/>
      <c r="H31" s="86"/>
      <c r="I31" s="86"/>
      <c r="J31" s="86"/>
      <c r="K31" s="86"/>
      <c r="L31" s="86"/>
      <c r="M31" s="86"/>
    </row>
    <row r="32" spans="1:13" ht="15.75" customHeight="1" x14ac:dyDescent="0.2">
      <c r="A32" s="85"/>
      <c r="B32" s="85"/>
      <c r="C32" s="85"/>
      <c r="D32" s="2"/>
      <c r="F32" s="27"/>
      <c r="G32" s="27"/>
      <c r="H32" s="86"/>
      <c r="I32" s="86"/>
      <c r="J32" s="86"/>
      <c r="K32" s="86"/>
      <c r="L32" s="86"/>
      <c r="M32" s="8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E39-97E7-49C3-B20B-8022214CB4A1}">
  <dimension ref="A2:O47"/>
  <sheetViews>
    <sheetView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8.60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7.398437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17</v>
      </c>
      <c r="B2" s="104"/>
      <c r="C2" s="104"/>
      <c r="E2" s="104" t="s">
        <v>18</v>
      </c>
      <c r="F2" s="104"/>
      <c r="G2" s="104"/>
      <c r="I2" s="104" t="s">
        <v>19</v>
      </c>
      <c r="J2" s="104"/>
      <c r="K2" s="104"/>
    </row>
    <row r="3" spans="1:15" ht="27.75" x14ac:dyDescent="0.2">
      <c r="A3" s="1" t="s">
        <v>33</v>
      </c>
      <c r="B3" s="1" t="s">
        <v>34</v>
      </c>
      <c r="C3" s="1" t="s">
        <v>7</v>
      </c>
      <c r="E3" s="1" t="s">
        <v>33</v>
      </c>
      <c r="F3" s="1" t="s">
        <v>34</v>
      </c>
      <c r="G3" s="1" t="s">
        <v>7</v>
      </c>
      <c r="I3" s="1" t="s">
        <v>33</v>
      </c>
      <c r="J3" s="1" t="s">
        <v>34</v>
      </c>
      <c r="K3" s="1" t="s">
        <v>7</v>
      </c>
      <c r="M3" s="1" t="s">
        <v>17</v>
      </c>
      <c r="N3" s="1" t="s">
        <v>18</v>
      </c>
      <c r="O3" s="1" t="s">
        <v>19</v>
      </c>
    </row>
    <row r="4" spans="1:15" x14ac:dyDescent="0.2">
      <c r="A4" s="1" t="s">
        <v>35</v>
      </c>
      <c r="B4" s="1">
        <v>4</v>
      </c>
      <c r="C4" s="27">
        <f>ABS!F6</f>
        <v>1.335</v>
      </c>
      <c r="E4" s="1" t="s">
        <v>35</v>
      </c>
      <c r="F4" s="1">
        <v>6</v>
      </c>
      <c r="G4" s="27">
        <f>D38</f>
        <v>1.4693000000000001</v>
      </c>
      <c r="I4" s="1" t="s">
        <v>35</v>
      </c>
      <c r="J4" s="1">
        <v>8</v>
      </c>
      <c r="K4" s="27">
        <f>D40</f>
        <v>1.4342999999999999</v>
      </c>
      <c r="M4" s="27">
        <f>C4</f>
        <v>1.335</v>
      </c>
      <c r="N4" s="27">
        <f>G4</f>
        <v>1.4693000000000001</v>
      </c>
      <c r="O4" s="27">
        <f>K4</f>
        <v>1.4342999999999999</v>
      </c>
    </row>
    <row r="5" spans="1:15" x14ac:dyDescent="0.2">
      <c r="A5" s="1" t="s">
        <v>35</v>
      </c>
      <c r="B5" s="1">
        <v>5</v>
      </c>
      <c r="C5" s="27">
        <f>ABS!F7</f>
        <v>1.4450000000000001</v>
      </c>
      <c r="E5" s="1" t="s">
        <v>35</v>
      </c>
      <c r="F5" s="1">
        <v>7</v>
      </c>
      <c r="G5" s="27">
        <f>D39</f>
        <v>1.8183</v>
      </c>
      <c r="I5" s="1" t="s">
        <v>35</v>
      </c>
      <c r="J5" s="1">
        <v>9</v>
      </c>
      <c r="K5" s="27">
        <f>D41</f>
        <v>1.5629</v>
      </c>
      <c r="M5" s="27">
        <f t="shared" ref="M5:M15" si="0">C5</f>
        <v>1.4450000000000001</v>
      </c>
      <c r="N5" s="27">
        <f t="shared" ref="N5:N15" si="1">G5</f>
        <v>1.8183</v>
      </c>
      <c r="O5" s="27">
        <f t="shared" ref="O5:O15" si="2">K5</f>
        <v>1.5629</v>
      </c>
    </row>
    <row r="6" spans="1:15" x14ac:dyDescent="0.2">
      <c r="A6" s="1" t="s">
        <v>35</v>
      </c>
      <c r="B6" s="1">
        <v>10</v>
      </c>
      <c r="C6" s="27">
        <f>ABS!F12</f>
        <v>1.8508</v>
      </c>
      <c r="E6" s="1" t="s">
        <v>35</v>
      </c>
      <c r="F6" s="1">
        <v>12</v>
      </c>
      <c r="G6" s="27">
        <f>D44</f>
        <v>2.0701999999999998</v>
      </c>
      <c r="I6" s="1" t="s">
        <v>35</v>
      </c>
      <c r="J6" s="1">
        <v>14</v>
      </c>
      <c r="K6" s="27">
        <f>D46</f>
        <v>1.8688</v>
      </c>
      <c r="M6" s="27">
        <f t="shared" si="0"/>
        <v>1.8508</v>
      </c>
      <c r="N6" s="27">
        <f t="shared" si="1"/>
        <v>2.0701999999999998</v>
      </c>
      <c r="O6" s="27">
        <f t="shared" si="2"/>
        <v>1.8688</v>
      </c>
    </row>
    <row r="7" spans="1:15" x14ac:dyDescent="0.2">
      <c r="A7" s="1" t="s">
        <v>35</v>
      </c>
      <c r="B7" s="1">
        <v>11</v>
      </c>
      <c r="C7" s="27">
        <f>ABS!F13</f>
        <v>2.1374</v>
      </c>
      <c r="E7" s="1" t="s">
        <v>35</v>
      </c>
      <c r="F7" s="1">
        <v>13</v>
      </c>
      <c r="G7" s="27">
        <f>D45</f>
        <v>2.3704999999999998</v>
      </c>
      <c r="I7" s="1" t="s">
        <v>35</v>
      </c>
      <c r="J7" s="1">
        <v>15</v>
      </c>
      <c r="K7" s="27">
        <f>D47</f>
        <v>2.1360999999999999</v>
      </c>
      <c r="M7" s="27">
        <f t="shared" si="0"/>
        <v>2.1374</v>
      </c>
      <c r="N7" s="27">
        <f t="shared" si="1"/>
        <v>2.3704999999999998</v>
      </c>
      <c r="O7" s="27">
        <f t="shared" si="2"/>
        <v>2.1360999999999999</v>
      </c>
    </row>
    <row r="8" spans="1:15" x14ac:dyDescent="0.2">
      <c r="A8" s="1" t="s">
        <v>36</v>
      </c>
      <c r="B8" s="1">
        <v>4</v>
      </c>
      <c r="C8" s="27">
        <f>PLA!F6</f>
        <v>1.7476</v>
      </c>
      <c r="E8" s="1" t="s">
        <v>36</v>
      </c>
      <c r="F8" s="1">
        <v>6</v>
      </c>
      <c r="G8" s="27">
        <f>I38</f>
        <v>2.1301999999999999</v>
      </c>
      <c r="I8" s="1" t="s">
        <v>36</v>
      </c>
      <c r="J8" s="1">
        <v>8</v>
      </c>
      <c r="K8" s="27">
        <f>I40</f>
        <v>2.0438000000000001</v>
      </c>
      <c r="M8" s="27">
        <f t="shared" si="0"/>
        <v>1.7476</v>
      </c>
      <c r="N8" s="27">
        <f t="shared" si="1"/>
        <v>2.1301999999999999</v>
      </c>
      <c r="O8" s="27">
        <f t="shared" si="2"/>
        <v>2.0438000000000001</v>
      </c>
    </row>
    <row r="9" spans="1:15" x14ac:dyDescent="0.2">
      <c r="A9" s="1" t="s">
        <v>36</v>
      </c>
      <c r="B9" s="1">
        <v>5</v>
      </c>
      <c r="C9" s="27">
        <f>PLA!F7</f>
        <v>2.4641999999999999</v>
      </c>
      <c r="E9" s="1" t="s">
        <v>36</v>
      </c>
      <c r="F9" s="1">
        <v>7</v>
      </c>
      <c r="G9" s="27">
        <f>I39</f>
        <v>2.6031</v>
      </c>
      <c r="I9" s="1" t="s">
        <v>36</v>
      </c>
      <c r="J9" s="1">
        <v>9</v>
      </c>
      <c r="K9" s="27">
        <f>I41</f>
        <v>2.3403999999999998</v>
      </c>
      <c r="M9" s="27">
        <f t="shared" si="0"/>
        <v>2.4641999999999999</v>
      </c>
      <c r="N9" s="27">
        <f t="shared" si="1"/>
        <v>2.6031</v>
      </c>
      <c r="O9" s="27">
        <f t="shared" si="2"/>
        <v>2.3403999999999998</v>
      </c>
    </row>
    <row r="10" spans="1:15" x14ac:dyDescent="0.2">
      <c r="A10" s="1" t="s">
        <v>36</v>
      </c>
      <c r="B10" s="1">
        <v>10</v>
      </c>
      <c r="C10" s="27">
        <f>PLA!F12</f>
        <v>2.8334000000000001</v>
      </c>
      <c r="E10" s="1" t="s">
        <v>36</v>
      </c>
      <c r="F10" s="1">
        <v>12</v>
      </c>
      <c r="G10" s="27">
        <f>I44</f>
        <v>2.8893</v>
      </c>
      <c r="I10" s="1" t="s">
        <v>36</v>
      </c>
      <c r="J10" s="1">
        <v>14</v>
      </c>
      <c r="K10" s="27">
        <f>I46</f>
        <v>2.6368</v>
      </c>
      <c r="M10" s="27">
        <f t="shared" si="0"/>
        <v>2.8334000000000001</v>
      </c>
      <c r="N10" s="27">
        <f t="shared" si="1"/>
        <v>2.8893</v>
      </c>
      <c r="O10" s="27">
        <f t="shared" si="2"/>
        <v>2.6368</v>
      </c>
    </row>
    <row r="11" spans="1:15" x14ac:dyDescent="0.2">
      <c r="A11" s="1" t="s">
        <v>36</v>
      </c>
      <c r="B11" s="1">
        <v>11</v>
      </c>
      <c r="C11" s="27">
        <f>PLA!F13</f>
        <v>2.8868</v>
      </c>
      <c r="E11" s="1" t="s">
        <v>36</v>
      </c>
      <c r="F11" s="1">
        <v>13</v>
      </c>
      <c r="G11" s="27">
        <f>I45</f>
        <v>3.2658</v>
      </c>
      <c r="I11" s="1" t="s">
        <v>36</v>
      </c>
      <c r="J11" s="1">
        <v>15</v>
      </c>
      <c r="K11" s="27">
        <f>I47</f>
        <v>3.1633</v>
      </c>
      <c r="M11" s="27">
        <f t="shared" si="0"/>
        <v>2.8868</v>
      </c>
      <c r="N11" s="27">
        <f t="shared" si="1"/>
        <v>3.2658</v>
      </c>
      <c r="O11" s="27">
        <f t="shared" si="2"/>
        <v>3.1633</v>
      </c>
    </row>
    <row r="12" spans="1:15" x14ac:dyDescent="0.2">
      <c r="A12" s="1" t="s">
        <v>37</v>
      </c>
      <c r="B12" s="1">
        <v>4</v>
      </c>
      <c r="C12" s="27">
        <f>PETG!F6</f>
        <v>2.0192000000000001</v>
      </c>
      <c r="E12" s="1" t="s">
        <v>37</v>
      </c>
      <c r="F12" s="1">
        <v>6</v>
      </c>
      <c r="G12" s="27">
        <f>N38</f>
        <v>1.7901</v>
      </c>
      <c r="I12" s="1" t="s">
        <v>37</v>
      </c>
      <c r="J12" s="1">
        <v>8</v>
      </c>
      <c r="K12" s="27">
        <f>N40</f>
        <v>1.7519</v>
      </c>
      <c r="M12" s="27">
        <f t="shared" si="0"/>
        <v>2.0192000000000001</v>
      </c>
      <c r="N12" s="27">
        <f t="shared" si="1"/>
        <v>1.7901</v>
      </c>
      <c r="O12" s="27">
        <f t="shared" si="2"/>
        <v>1.7519</v>
      </c>
    </row>
    <row r="13" spans="1:15" x14ac:dyDescent="0.2">
      <c r="A13" s="1" t="s">
        <v>37</v>
      </c>
      <c r="B13" s="1">
        <v>5</v>
      </c>
      <c r="C13" s="27">
        <f>PETG!F7</f>
        <v>2.2999999999999998</v>
      </c>
      <c r="E13" s="1" t="s">
        <v>37</v>
      </c>
      <c r="F13" s="1">
        <v>7</v>
      </c>
      <c r="G13" s="27">
        <f>N39</f>
        <v>2.2187999999999999</v>
      </c>
      <c r="I13" s="1" t="s">
        <v>37</v>
      </c>
      <c r="J13" s="1">
        <v>9</v>
      </c>
      <c r="K13" s="27">
        <f>N41</f>
        <v>2.1164000000000001</v>
      </c>
      <c r="M13" s="27">
        <f t="shared" si="0"/>
        <v>2.2999999999999998</v>
      </c>
      <c r="N13" s="27">
        <f t="shared" si="1"/>
        <v>2.2187999999999999</v>
      </c>
      <c r="O13" s="27">
        <f t="shared" si="2"/>
        <v>2.1164000000000001</v>
      </c>
    </row>
    <row r="14" spans="1:15" x14ac:dyDescent="0.2">
      <c r="A14" s="1" t="s">
        <v>37</v>
      </c>
      <c r="B14" s="1">
        <v>10</v>
      </c>
      <c r="C14" s="27">
        <f>PETG!F12</f>
        <v>2.3268</v>
      </c>
      <c r="E14" s="1" t="s">
        <v>37</v>
      </c>
      <c r="F14" s="1">
        <v>12</v>
      </c>
      <c r="G14" s="27">
        <f>N44</f>
        <v>2.5668000000000002</v>
      </c>
      <c r="I14" s="1" t="s">
        <v>37</v>
      </c>
      <c r="J14" s="1">
        <v>14</v>
      </c>
      <c r="K14" s="27">
        <f>N46</f>
        <v>2.4034</v>
      </c>
      <c r="M14" s="27">
        <f t="shared" si="0"/>
        <v>2.3268</v>
      </c>
      <c r="N14" s="27">
        <f t="shared" si="1"/>
        <v>2.5668000000000002</v>
      </c>
      <c r="O14" s="27">
        <f t="shared" si="2"/>
        <v>2.4034</v>
      </c>
    </row>
    <row r="15" spans="1:15" x14ac:dyDescent="0.2">
      <c r="A15" s="1" t="s">
        <v>37</v>
      </c>
      <c r="B15" s="1">
        <v>11</v>
      </c>
      <c r="C15" s="27">
        <f>PETG!F13</f>
        <v>2.5102000000000002</v>
      </c>
      <c r="E15" s="1" t="s">
        <v>37</v>
      </c>
      <c r="F15" s="1">
        <v>13</v>
      </c>
      <c r="G15" s="27">
        <f>N45</f>
        <v>2.9683999999999999</v>
      </c>
      <c r="I15" s="1" t="s">
        <v>37</v>
      </c>
      <c r="J15" s="1">
        <v>15</v>
      </c>
      <c r="K15" s="27">
        <f>N47</f>
        <v>2.6421999999999999</v>
      </c>
      <c r="M15" s="27">
        <f t="shared" si="0"/>
        <v>2.5102000000000002</v>
      </c>
      <c r="N15" s="27">
        <f t="shared" si="1"/>
        <v>2.9683999999999999</v>
      </c>
      <c r="O15" s="27">
        <f t="shared" si="2"/>
        <v>2.6421999999999999</v>
      </c>
    </row>
    <row r="16" spans="1:15" ht="41.25" x14ac:dyDescent="0.2">
      <c r="A16" s="1" t="s">
        <v>38</v>
      </c>
      <c r="B16" s="1" t="s">
        <v>39</v>
      </c>
      <c r="C16" s="27"/>
      <c r="G16" s="27"/>
      <c r="K16" s="27"/>
    </row>
    <row r="17" spans="1:2" x14ac:dyDescent="0.2">
      <c r="A17" s="1" t="s">
        <v>17</v>
      </c>
      <c r="B17" s="27">
        <f>AVERAGE(C4:C15)</f>
        <v>2.1547000000000005</v>
      </c>
    </row>
    <row r="18" spans="1:2" x14ac:dyDescent="0.2">
      <c r="A18" s="1" t="s">
        <v>18</v>
      </c>
      <c r="B18" s="27">
        <f>AVERAGE(G4:G15)</f>
        <v>2.3467333333333333</v>
      </c>
    </row>
    <row r="19" spans="1:2" x14ac:dyDescent="0.2">
      <c r="A19" s="1" t="s">
        <v>19</v>
      </c>
      <c r="B19" s="27">
        <f>AVERAGE(K4:K15)</f>
        <v>2.1750249999999998</v>
      </c>
    </row>
    <row r="21" spans="1:2" ht="27.75" x14ac:dyDescent="0.2">
      <c r="A21" s="1" t="s">
        <v>40</v>
      </c>
      <c r="B21" s="79">
        <f>(1-B17/B18)</f>
        <v>8.1830061645975727E-2</v>
      </c>
    </row>
    <row r="31" spans="1:2" ht="40.5" customHeight="1" x14ac:dyDescent="0.2"/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3</v>
      </c>
      <c r="C35" s="1" t="s">
        <v>6</v>
      </c>
      <c r="D35" s="1" t="s">
        <v>7</v>
      </c>
      <c r="F35" s="1" t="s">
        <v>2</v>
      </c>
      <c r="G35" s="1" t="s">
        <v>3</v>
      </c>
      <c r="H35" s="1" t="s">
        <v>6</v>
      </c>
      <c r="I35" s="1" t="s">
        <v>7</v>
      </c>
      <c r="K35" s="1" t="s">
        <v>2</v>
      </c>
      <c r="L35" s="1" t="s">
        <v>3</v>
      </c>
      <c r="M35" s="1" t="s">
        <v>6</v>
      </c>
      <c r="N35" s="1" t="s">
        <v>7</v>
      </c>
    </row>
    <row r="36" spans="1:14" x14ac:dyDescent="0.2">
      <c r="A36" s="1">
        <v>4</v>
      </c>
      <c r="B36" s="1" t="s">
        <v>17</v>
      </c>
      <c r="C36" s="1">
        <v>19.2</v>
      </c>
      <c r="D36" s="1">
        <v>1.335</v>
      </c>
      <c r="F36" s="1">
        <v>4</v>
      </c>
      <c r="G36" s="1" t="s">
        <v>17</v>
      </c>
      <c r="H36" s="1">
        <v>23</v>
      </c>
      <c r="I36" s="1">
        <v>1.7476</v>
      </c>
      <c r="K36" s="1">
        <v>4</v>
      </c>
      <c r="L36" s="1" t="s">
        <v>17</v>
      </c>
      <c r="M36" s="1">
        <v>24.4</v>
      </c>
      <c r="N36" s="1">
        <v>2.0192000000000001</v>
      </c>
    </row>
    <row r="37" spans="1:14" x14ac:dyDescent="0.2">
      <c r="A37" s="1">
        <v>5</v>
      </c>
      <c r="B37" s="1" t="s">
        <v>17</v>
      </c>
      <c r="C37" s="1">
        <v>26</v>
      </c>
      <c r="D37" s="1">
        <v>1.4450000000000001</v>
      </c>
      <c r="F37" s="1">
        <v>5</v>
      </c>
      <c r="G37" s="1" t="s">
        <v>17</v>
      </c>
      <c r="H37" s="1">
        <v>35.1</v>
      </c>
      <c r="I37" s="1">
        <v>2.4641999999999999</v>
      </c>
      <c r="K37" s="1">
        <v>5</v>
      </c>
      <c r="L37" s="1" t="s">
        <v>17</v>
      </c>
      <c r="M37" s="1">
        <v>35.5</v>
      </c>
      <c r="N37" s="1">
        <v>2.2999999999999998</v>
      </c>
    </row>
    <row r="38" spans="1:14" x14ac:dyDescent="0.2">
      <c r="A38" s="1">
        <v>6</v>
      </c>
      <c r="B38" s="1" t="s">
        <v>18</v>
      </c>
      <c r="C38" s="1">
        <v>19</v>
      </c>
      <c r="D38" s="1">
        <v>1.4693000000000001</v>
      </c>
      <c r="F38" s="1">
        <v>6</v>
      </c>
      <c r="G38" s="1" t="s">
        <v>18</v>
      </c>
      <c r="H38" s="1">
        <v>22.9</v>
      </c>
      <c r="I38" s="1">
        <v>2.1301999999999999</v>
      </c>
      <c r="K38" s="1">
        <v>6</v>
      </c>
      <c r="L38" s="1" t="s">
        <v>18</v>
      </c>
      <c r="M38" s="1">
        <v>22.5</v>
      </c>
      <c r="N38" s="1">
        <v>1.7901</v>
      </c>
    </row>
    <row r="39" spans="1:14" x14ac:dyDescent="0.2">
      <c r="A39" s="1">
        <v>7</v>
      </c>
      <c r="B39" s="1" t="s">
        <v>18</v>
      </c>
      <c r="C39" s="1">
        <v>26.1</v>
      </c>
      <c r="D39" s="1">
        <v>1.8183</v>
      </c>
      <c r="F39" s="1">
        <v>7</v>
      </c>
      <c r="G39" s="1" t="s">
        <v>18</v>
      </c>
      <c r="H39" s="1">
        <v>31.3</v>
      </c>
      <c r="I39" s="1">
        <v>2.6031</v>
      </c>
      <c r="K39" s="1">
        <v>7</v>
      </c>
      <c r="L39" s="1" t="s">
        <v>18</v>
      </c>
      <c r="M39" s="1">
        <v>30.8</v>
      </c>
      <c r="N39" s="1">
        <v>2.2187999999999999</v>
      </c>
    </row>
    <row r="40" spans="1:14" x14ac:dyDescent="0.2">
      <c r="A40" s="1">
        <v>8</v>
      </c>
      <c r="B40" s="1" t="s">
        <v>19</v>
      </c>
      <c r="C40" s="1">
        <v>19</v>
      </c>
      <c r="D40" s="1">
        <v>1.4342999999999999</v>
      </c>
      <c r="F40" s="1">
        <v>8</v>
      </c>
      <c r="G40" s="1" t="s">
        <v>19</v>
      </c>
      <c r="H40" s="1">
        <v>23</v>
      </c>
      <c r="I40" s="1">
        <v>2.0438000000000001</v>
      </c>
      <c r="K40" s="1">
        <v>8</v>
      </c>
      <c r="L40" s="1" t="s">
        <v>19</v>
      </c>
      <c r="M40" s="1">
        <v>22.6</v>
      </c>
      <c r="N40" s="1">
        <v>1.7519</v>
      </c>
    </row>
    <row r="41" spans="1:14" x14ac:dyDescent="0.2">
      <c r="A41" s="1">
        <v>9</v>
      </c>
      <c r="B41" s="1" t="s">
        <v>19</v>
      </c>
      <c r="C41" s="1">
        <v>25.6</v>
      </c>
      <c r="D41" s="1">
        <v>1.5629</v>
      </c>
      <c r="F41" s="1">
        <v>9</v>
      </c>
      <c r="G41" s="1" t="s">
        <v>19</v>
      </c>
      <c r="H41" s="1">
        <v>31</v>
      </c>
      <c r="I41" s="1">
        <v>2.3403999999999998</v>
      </c>
      <c r="K41" s="1">
        <v>9</v>
      </c>
      <c r="L41" s="1" t="s">
        <v>19</v>
      </c>
      <c r="M41" s="1">
        <v>30.5</v>
      </c>
      <c r="N41" s="1">
        <v>2.1164000000000001</v>
      </c>
    </row>
    <row r="42" spans="1:14" x14ac:dyDescent="0.2">
      <c r="A42" s="1">
        <v>10</v>
      </c>
      <c r="B42" s="1" t="s">
        <v>17</v>
      </c>
      <c r="C42" s="1">
        <v>24.5</v>
      </c>
      <c r="D42" s="1">
        <v>1.8508</v>
      </c>
      <c r="F42" s="1">
        <v>10</v>
      </c>
      <c r="G42" s="1" t="s">
        <v>17</v>
      </c>
      <c r="H42" s="1">
        <v>29.6</v>
      </c>
      <c r="I42" s="1">
        <v>2.8334000000000001</v>
      </c>
      <c r="K42" s="1">
        <v>10</v>
      </c>
      <c r="L42" s="1" t="s">
        <v>17</v>
      </c>
      <c r="M42" s="1">
        <v>29.2</v>
      </c>
      <c r="N42" s="1">
        <v>2.3268</v>
      </c>
    </row>
    <row r="43" spans="1:14" x14ac:dyDescent="0.2">
      <c r="A43" s="1">
        <v>11</v>
      </c>
      <c r="B43" s="1" t="s">
        <v>17</v>
      </c>
      <c r="C43" s="1">
        <v>30.8</v>
      </c>
      <c r="D43" s="1">
        <v>2.1374</v>
      </c>
      <c r="F43" s="1">
        <v>11</v>
      </c>
      <c r="G43" s="1" t="s">
        <v>17</v>
      </c>
      <c r="H43" s="1">
        <v>36.9</v>
      </c>
      <c r="I43" s="1">
        <v>2.8868</v>
      </c>
      <c r="K43" s="1">
        <v>11</v>
      </c>
      <c r="L43" s="1" t="s">
        <v>17</v>
      </c>
      <c r="M43" s="1">
        <v>36.1</v>
      </c>
      <c r="N43" s="1">
        <v>2.5102000000000002</v>
      </c>
    </row>
    <row r="44" spans="1:14" x14ac:dyDescent="0.2">
      <c r="A44" s="1">
        <v>12</v>
      </c>
      <c r="B44" s="1" t="s">
        <v>18</v>
      </c>
      <c r="C44" s="1">
        <v>24.6</v>
      </c>
      <c r="D44" s="1">
        <v>2.0701999999999998</v>
      </c>
      <c r="F44" s="1">
        <v>12</v>
      </c>
      <c r="G44" s="1" t="s">
        <v>18</v>
      </c>
      <c r="H44" s="1">
        <v>29.5</v>
      </c>
      <c r="I44" s="1">
        <v>2.8893</v>
      </c>
      <c r="K44" s="1">
        <v>12</v>
      </c>
      <c r="L44" s="1" t="s">
        <v>18</v>
      </c>
      <c r="M44" s="1">
        <v>28.9</v>
      </c>
      <c r="N44" s="1">
        <v>2.5668000000000002</v>
      </c>
    </row>
    <row r="45" spans="1:14" x14ac:dyDescent="0.2">
      <c r="A45" s="1">
        <v>13</v>
      </c>
      <c r="B45" s="1" t="s">
        <v>18</v>
      </c>
      <c r="C45" s="1">
        <v>30.8</v>
      </c>
      <c r="D45" s="1">
        <v>2.3704999999999998</v>
      </c>
      <c r="F45" s="1">
        <v>13</v>
      </c>
      <c r="G45" s="1" t="s">
        <v>18</v>
      </c>
      <c r="H45" s="1">
        <v>36.9</v>
      </c>
      <c r="I45" s="1">
        <v>3.2658</v>
      </c>
      <c r="K45" s="1">
        <v>13</v>
      </c>
      <c r="L45" s="1" t="s">
        <v>18</v>
      </c>
      <c r="M45" s="1">
        <v>36.200000000000003</v>
      </c>
      <c r="N45" s="1">
        <v>2.9683999999999999</v>
      </c>
    </row>
    <row r="46" spans="1:14" x14ac:dyDescent="0.2">
      <c r="A46" s="1">
        <v>14</v>
      </c>
      <c r="B46" s="1" t="s">
        <v>19</v>
      </c>
      <c r="C46" s="1">
        <v>24.6</v>
      </c>
      <c r="D46" s="1">
        <v>1.8688</v>
      </c>
      <c r="F46" s="1">
        <v>14</v>
      </c>
      <c r="G46" s="1" t="s">
        <v>19</v>
      </c>
      <c r="H46" s="1">
        <v>29.8</v>
      </c>
      <c r="I46" s="1">
        <v>2.6368</v>
      </c>
      <c r="K46" s="1">
        <v>14</v>
      </c>
      <c r="L46" s="1" t="s">
        <v>19</v>
      </c>
      <c r="M46" s="1">
        <v>29.2</v>
      </c>
      <c r="N46" s="1">
        <v>2.4034</v>
      </c>
    </row>
    <row r="47" spans="1:14" x14ac:dyDescent="0.2">
      <c r="A47" s="1">
        <v>15</v>
      </c>
      <c r="B47" s="1" t="s">
        <v>19</v>
      </c>
      <c r="C47" s="1">
        <v>30.4</v>
      </c>
      <c r="D47" s="1">
        <v>2.1360999999999999</v>
      </c>
      <c r="F47" s="1">
        <v>15</v>
      </c>
      <c r="G47" s="1" t="s">
        <v>19</v>
      </c>
      <c r="H47" s="1">
        <v>36.799999999999997</v>
      </c>
      <c r="I47" s="1">
        <v>3.1633</v>
      </c>
      <c r="K47" s="1">
        <v>15</v>
      </c>
      <c r="L47" s="1" t="s">
        <v>19</v>
      </c>
      <c r="M47" s="1">
        <v>35.9</v>
      </c>
      <c r="N47" s="1">
        <v>2.6421999999999999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E4AD-2BF5-4F51-B6F3-8A44FE0DFB07}">
  <dimension ref="A1:O47"/>
  <sheetViews>
    <sheetView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8.60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8.3398437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1" spans="1:15" x14ac:dyDescent="0.2">
      <c r="A1" s="104"/>
      <c r="B1" s="104"/>
      <c r="C1" s="104"/>
      <c r="E1" s="104"/>
      <c r="F1" s="104"/>
      <c r="G1" s="104"/>
      <c r="I1" s="104"/>
      <c r="J1" s="104"/>
      <c r="K1" s="104"/>
    </row>
    <row r="2" spans="1:15" x14ac:dyDescent="0.2">
      <c r="A2" s="104" t="s">
        <v>17</v>
      </c>
      <c r="B2" s="104"/>
      <c r="C2" s="104"/>
      <c r="E2" s="104" t="s">
        <v>18</v>
      </c>
      <c r="F2" s="104"/>
      <c r="G2" s="104"/>
      <c r="I2" s="104" t="s">
        <v>19</v>
      </c>
      <c r="J2" s="104"/>
      <c r="K2" s="104"/>
    </row>
    <row r="3" spans="1:15" ht="27.75" x14ac:dyDescent="0.2">
      <c r="A3" s="1" t="s">
        <v>33</v>
      </c>
      <c r="B3" s="1" t="s">
        <v>34</v>
      </c>
      <c r="C3" s="1" t="s">
        <v>7</v>
      </c>
      <c r="E3" s="1" t="s">
        <v>33</v>
      </c>
      <c r="F3" s="1" t="s">
        <v>34</v>
      </c>
      <c r="G3" s="1" t="s">
        <v>7</v>
      </c>
      <c r="I3" s="1" t="s">
        <v>33</v>
      </c>
      <c r="J3" s="1" t="s">
        <v>34</v>
      </c>
      <c r="K3" s="1" t="s">
        <v>7</v>
      </c>
      <c r="M3" s="1" t="s">
        <v>17</v>
      </c>
      <c r="N3" s="1" t="s">
        <v>18</v>
      </c>
      <c r="O3" s="1" t="s">
        <v>19</v>
      </c>
    </row>
    <row r="4" spans="1:15" x14ac:dyDescent="0.2">
      <c r="A4" s="1" t="s">
        <v>35</v>
      </c>
      <c r="B4" s="1">
        <v>4</v>
      </c>
      <c r="C4" s="27">
        <f>D36</f>
        <v>205.66</v>
      </c>
      <c r="E4" s="1" t="s">
        <v>35</v>
      </c>
      <c r="F4" s="1">
        <v>6</v>
      </c>
      <c r="G4" s="27">
        <f>D38</f>
        <v>227.06</v>
      </c>
      <c r="I4" s="1" t="s">
        <v>35</v>
      </c>
      <c r="J4" s="1">
        <v>8</v>
      </c>
      <c r="K4" s="27">
        <f>D40</f>
        <v>190.34</v>
      </c>
      <c r="M4" s="27">
        <f>C4</f>
        <v>205.66</v>
      </c>
      <c r="N4" s="27">
        <f>G4</f>
        <v>227.06</v>
      </c>
      <c r="O4" s="27">
        <f>K4</f>
        <v>190.34</v>
      </c>
    </row>
    <row r="5" spans="1:15" x14ac:dyDescent="0.2">
      <c r="A5" s="1" t="s">
        <v>35</v>
      </c>
      <c r="B5" s="1">
        <v>5</v>
      </c>
      <c r="C5" s="27">
        <f>D37</f>
        <v>201.67</v>
      </c>
      <c r="E5" s="1" t="s">
        <v>35</v>
      </c>
      <c r="F5" s="1">
        <v>7</v>
      </c>
      <c r="G5" s="27">
        <f>D39</f>
        <v>250.75</v>
      </c>
      <c r="I5" s="1" t="s">
        <v>35</v>
      </c>
      <c r="J5" s="1">
        <v>9</v>
      </c>
      <c r="K5" s="27">
        <f>D41</f>
        <v>238.64</v>
      </c>
      <c r="M5" s="27">
        <f t="shared" ref="M5:M15" si="0">C5</f>
        <v>201.67</v>
      </c>
      <c r="N5" s="27">
        <f t="shared" ref="N5:N15" si="1">G5</f>
        <v>250.75</v>
      </c>
      <c r="O5" s="27">
        <f t="shared" ref="O5:O15" si="2">K5</f>
        <v>238.64</v>
      </c>
    </row>
    <row r="6" spans="1:15" x14ac:dyDescent="0.2">
      <c r="A6" s="1" t="s">
        <v>35</v>
      </c>
      <c r="B6" s="1">
        <v>10</v>
      </c>
      <c r="C6" s="27">
        <f>D42</f>
        <v>252.92</v>
      </c>
      <c r="E6" s="1" t="s">
        <v>35</v>
      </c>
      <c r="F6" s="1">
        <v>12</v>
      </c>
      <c r="G6" s="27">
        <f>D44</f>
        <v>318.51</v>
      </c>
      <c r="I6" s="1" t="s">
        <v>35</v>
      </c>
      <c r="J6" s="1">
        <v>14</v>
      </c>
      <c r="K6" s="27">
        <f>D46</f>
        <v>277.42</v>
      </c>
      <c r="M6" s="27">
        <f t="shared" si="0"/>
        <v>252.92</v>
      </c>
      <c r="N6" s="27">
        <f t="shared" si="1"/>
        <v>318.51</v>
      </c>
      <c r="O6" s="27">
        <f t="shared" si="2"/>
        <v>277.42</v>
      </c>
    </row>
    <row r="7" spans="1:15" x14ac:dyDescent="0.2">
      <c r="A7" s="1" t="s">
        <v>35</v>
      </c>
      <c r="B7" s="1">
        <v>11</v>
      </c>
      <c r="C7" s="27">
        <f>D43</f>
        <v>276.22000000000003</v>
      </c>
      <c r="E7" s="1" t="s">
        <v>35</v>
      </c>
      <c r="F7" s="1">
        <v>13</v>
      </c>
      <c r="G7" s="27">
        <f>D45</f>
        <v>326.7</v>
      </c>
      <c r="I7" s="1" t="s">
        <v>35</v>
      </c>
      <c r="J7" s="1">
        <v>15</v>
      </c>
      <c r="K7" s="27">
        <f>D47</f>
        <v>285.92</v>
      </c>
      <c r="M7" s="27">
        <f t="shared" si="0"/>
        <v>276.22000000000003</v>
      </c>
      <c r="N7" s="27">
        <f t="shared" si="1"/>
        <v>326.7</v>
      </c>
      <c r="O7" s="27">
        <f t="shared" si="2"/>
        <v>285.92</v>
      </c>
    </row>
    <row r="8" spans="1:15" x14ac:dyDescent="0.2">
      <c r="A8" s="1" t="s">
        <v>36</v>
      </c>
      <c r="B8" s="1">
        <v>4</v>
      </c>
      <c r="C8" s="27">
        <f>I36</f>
        <v>254.67</v>
      </c>
      <c r="E8" s="1" t="s">
        <v>36</v>
      </c>
      <c r="F8" s="1">
        <v>6</v>
      </c>
      <c r="G8" s="27">
        <f>I38</f>
        <v>319.06</v>
      </c>
      <c r="I8" s="1" t="s">
        <v>36</v>
      </c>
      <c r="J8" s="1">
        <v>8</v>
      </c>
      <c r="K8" s="27">
        <f>I40</f>
        <v>295.55</v>
      </c>
      <c r="M8" s="27">
        <f t="shared" si="0"/>
        <v>254.67</v>
      </c>
      <c r="N8" s="27">
        <f t="shared" si="1"/>
        <v>319.06</v>
      </c>
      <c r="O8" s="27">
        <f t="shared" si="2"/>
        <v>295.55</v>
      </c>
    </row>
    <row r="9" spans="1:15" x14ac:dyDescent="0.2">
      <c r="A9" s="1" t="s">
        <v>36</v>
      </c>
      <c r="B9" s="1">
        <v>5</v>
      </c>
      <c r="C9" s="27">
        <f>I37</f>
        <v>369.98</v>
      </c>
      <c r="E9" s="1" t="s">
        <v>36</v>
      </c>
      <c r="F9" s="1">
        <v>7</v>
      </c>
      <c r="G9" s="27">
        <f>I39</f>
        <v>390.65</v>
      </c>
      <c r="I9" s="1" t="s">
        <v>36</v>
      </c>
      <c r="J9" s="1">
        <v>9</v>
      </c>
      <c r="K9" s="27">
        <f>I41</f>
        <v>332.1</v>
      </c>
      <c r="M9" s="27">
        <f t="shared" si="0"/>
        <v>369.98</v>
      </c>
      <c r="N9" s="27">
        <f t="shared" si="1"/>
        <v>390.65</v>
      </c>
      <c r="O9" s="27">
        <f t="shared" si="2"/>
        <v>332.1</v>
      </c>
    </row>
    <row r="10" spans="1:15" x14ac:dyDescent="0.2">
      <c r="A10" s="1" t="s">
        <v>36</v>
      </c>
      <c r="B10" s="1">
        <v>10</v>
      </c>
      <c r="C10" s="27">
        <f>I42</f>
        <v>403.11</v>
      </c>
      <c r="E10" s="1" t="s">
        <v>36</v>
      </c>
      <c r="F10" s="1">
        <v>12</v>
      </c>
      <c r="G10" s="27">
        <f>I44</f>
        <v>423.57</v>
      </c>
      <c r="I10" s="1" t="s">
        <v>36</v>
      </c>
      <c r="J10" s="1">
        <v>14</v>
      </c>
      <c r="K10" s="27">
        <f>I46</f>
        <v>401.55</v>
      </c>
      <c r="M10" s="27">
        <f t="shared" si="0"/>
        <v>403.11</v>
      </c>
      <c r="N10" s="27">
        <f t="shared" si="1"/>
        <v>423.57</v>
      </c>
      <c r="O10" s="27">
        <f t="shared" si="2"/>
        <v>401.55</v>
      </c>
    </row>
    <row r="11" spans="1:15" x14ac:dyDescent="0.2">
      <c r="A11" s="1" t="s">
        <v>36</v>
      </c>
      <c r="B11" s="1">
        <v>11</v>
      </c>
      <c r="C11" s="27">
        <f>I43</f>
        <v>414.66</v>
      </c>
      <c r="E11" s="1" t="s">
        <v>36</v>
      </c>
      <c r="F11" s="1">
        <v>13</v>
      </c>
      <c r="G11" s="27">
        <f>I45</f>
        <v>483.77</v>
      </c>
      <c r="I11" s="1" t="s">
        <v>36</v>
      </c>
      <c r="J11" s="1">
        <v>15</v>
      </c>
      <c r="K11" s="27">
        <f>I47</f>
        <v>490.71</v>
      </c>
      <c r="M11" s="27">
        <f t="shared" si="0"/>
        <v>414.66</v>
      </c>
      <c r="N11" s="27">
        <f t="shared" si="1"/>
        <v>483.77</v>
      </c>
      <c r="O11" s="27">
        <f t="shared" si="2"/>
        <v>490.71</v>
      </c>
    </row>
    <row r="12" spans="1:15" x14ac:dyDescent="0.2">
      <c r="A12" s="1" t="s">
        <v>37</v>
      </c>
      <c r="B12" s="1">
        <v>4</v>
      </c>
      <c r="C12" s="27">
        <f>N36</f>
        <v>176.33</v>
      </c>
      <c r="E12" s="1" t="s">
        <v>37</v>
      </c>
      <c r="F12" s="1">
        <v>6</v>
      </c>
      <c r="G12" s="27">
        <f>N38</f>
        <v>162.5</v>
      </c>
      <c r="I12" s="1" t="s">
        <v>37</v>
      </c>
      <c r="J12" s="1">
        <v>8</v>
      </c>
      <c r="K12" s="27">
        <f>N40</f>
        <v>158.37</v>
      </c>
      <c r="M12" s="27">
        <f t="shared" si="0"/>
        <v>176.33</v>
      </c>
      <c r="N12" s="27">
        <f t="shared" si="1"/>
        <v>162.5</v>
      </c>
      <c r="O12" s="27">
        <f t="shared" si="2"/>
        <v>158.37</v>
      </c>
    </row>
    <row r="13" spans="1:15" x14ac:dyDescent="0.2">
      <c r="A13" s="1" t="s">
        <v>37</v>
      </c>
      <c r="B13" s="1">
        <v>5</v>
      </c>
      <c r="C13" s="27">
        <f>N37</f>
        <v>198.2</v>
      </c>
      <c r="E13" s="1" t="s">
        <v>37</v>
      </c>
      <c r="F13" s="1">
        <v>7</v>
      </c>
      <c r="G13" s="27">
        <f>N39</f>
        <v>196.94</v>
      </c>
      <c r="I13" s="1" t="s">
        <v>37</v>
      </c>
      <c r="J13" s="1">
        <v>9</v>
      </c>
      <c r="K13" s="27">
        <f>N41</f>
        <v>183.51</v>
      </c>
      <c r="M13" s="27">
        <f t="shared" si="0"/>
        <v>198.2</v>
      </c>
      <c r="N13" s="27">
        <f t="shared" si="1"/>
        <v>196.94</v>
      </c>
      <c r="O13" s="27">
        <f t="shared" si="2"/>
        <v>183.51</v>
      </c>
    </row>
    <row r="14" spans="1:15" x14ac:dyDescent="0.2">
      <c r="A14" s="1" t="s">
        <v>37</v>
      </c>
      <c r="B14" s="1">
        <v>10</v>
      </c>
      <c r="C14" s="27">
        <f>N42</f>
        <v>216.39</v>
      </c>
      <c r="E14" s="1" t="s">
        <v>37</v>
      </c>
      <c r="F14" s="1">
        <v>12</v>
      </c>
      <c r="G14" s="27">
        <f>N44</f>
        <v>234.1</v>
      </c>
      <c r="I14" s="1" t="s">
        <v>37</v>
      </c>
      <c r="J14" s="1">
        <v>14</v>
      </c>
      <c r="K14" s="27">
        <f>N46</f>
        <v>239.77</v>
      </c>
      <c r="M14" s="27">
        <f t="shared" si="0"/>
        <v>216.39</v>
      </c>
      <c r="N14" s="27">
        <f t="shared" si="1"/>
        <v>234.1</v>
      </c>
      <c r="O14" s="27">
        <f t="shared" si="2"/>
        <v>239.77</v>
      </c>
    </row>
    <row r="15" spans="1:15" x14ac:dyDescent="0.2">
      <c r="A15" s="1" t="s">
        <v>37</v>
      </c>
      <c r="B15" s="1">
        <v>11</v>
      </c>
      <c r="C15" s="27">
        <f>N43</f>
        <v>222.88</v>
      </c>
      <c r="E15" s="1" t="s">
        <v>37</v>
      </c>
      <c r="F15" s="1">
        <v>13</v>
      </c>
      <c r="G15" s="27">
        <f>N45</f>
        <v>297.60000000000002</v>
      </c>
      <c r="I15" s="1" t="s">
        <v>37</v>
      </c>
      <c r="J15" s="1">
        <v>15</v>
      </c>
      <c r="K15" s="27">
        <f>N47</f>
        <v>252.96</v>
      </c>
      <c r="M15" s="27">
        <f t="shared" si="0"/>
        <v>222.88</v>
      </c>
      <c r="N15" s="27">
        <f t="shared" si="1"/>
        <v>297.60000000000002</v>
      </c>
      <c r="O15" s="27">
        <f t="shared" si="2"/>
        <v>252.96</v>
      </c>
    </row>
    <row r="16" spans="1:15" ht="41.25" x14ac:dyDescent="0.2">
      <c r="A16" s="1" t="s">
        <v>38</v>
      </c>
      <c r="B16" s="1" t="s">
        <v>39</v>
      </c>
      <c r="C16" s="27"/>
      <c r="G16" s="27"/>
      <c r="K16" s="27"/>
    </row>
    <row r="17" spans="1:2" x14ac:dyDescent="0.2">
      <c r="A17" s="1" t="s">
        <v>17</v>
      </c>
      <c r="B17" s="27">
        <f>AVERAGE(C4:C15)</f>
        <v>266.05749999999995</v>
      </c>
    </row>
    <row r="18" spans="1:2" x14ac:dyDescent="0.2">
      <c r="A18" s="1" t="s">
        <v>18</v>
      </c>
      <c r="B18" s="27">
        <f>AVERAGE(G4:G15)</f>
        <v>302.60083333333336</v>
      </c>
    </row>
    <row r="19" spans="1:2" x14ac:dyDescent="0.2">
      <c r="A19" s="1" t="s">
        <v>19</v>
      </c>
      <c r="B19" s="27">
        <f>AVERAGE(K4:K15)</f>
        <v>278.90333333333331</v>
      </c>
    </row>
    <row r="21" spans="1:2" ht="27.75" x14ac:dyDescent="0.2">
      <c r="A21" s="1" t="s">
        <v>40</v>
      </c>
      <c r="B21" s="79">
        <f>(1-B17/B18)</f>
        <v>0.12076415299583354</v>
      </c>
    </row>
    <row r="31" spans="1:2" ht="40.5" customHeight="1" x14ac:dyDescent="0.2"/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3</v>
      </c>
      <c r="C35" s="1" t="s">
        <v>6</v>
      </c>
      <c r="D35" s="1" t="s">
        <v>8</v>
      </c>
      <c r="F35" s="1" t="s">
        <v>2</v>
      </c>
      <c r="G35" s="1" t="s">
        <v>3</v>
      </c>
      <c r="H35" s="1" t="s">
        <v>6</v>
      </c>
      <c r="I35" s="1" t="s">
        <v>8</v>
      </c>
      <c r="K35" s="1" t="s">
        <v>2</v>
      </c>
      <c r="L35" s="1" t="s">
        <v>3</v>
      </c>
      <c r="M35" s="1" t="s">
        <v>6</v>
      </c>
      <c r="N35" s="1" t="s">
        <v>8</v>
      </c>
    </row>
    <row r="36" spans="1:14" x14ac:dyDescent="0.2">
      <c r="A36" s="1">
        <v>4</v>
      </c>
      <c r="B36" s="1" t="s">
        <v>17</v>
      </c>
      <c r="C36" s="1">
        <v>19.2</v>
      </c>
      <c r="D36" s="1">
        <v>205.66</v>
      </c>
      <c r="F36" s="1">
        <v>4</v>
      </c>
      <c r="G36" s="1" t="s">
        <v>17</v>
      </c>
      <c r="H36" s="1">
        <v>23</v>
      </c>
      <c r="I36" s="1">
        <v>254.67</v>
      </c>
      <c r="K36" s="1">
        <v>4</v>
      </c>
      <c r="L36" s="1" t="s">
        <v>17</v>
      </c>
      <c r="M36" s="1">
        <v>24.4</v>
      </c>
      <c r="N36" s="1">
        <v>176.33</v>
      </c>
    </row>
    <row r="37" spans="1:14" x14ac:dyDescent="0.2">
      <c r="A37" s="1">
        <v>5</v>
      </c>
      <c r="B37" s="1" t="s">
        <v>17</v>
      </c>
      <c r="C37" s="1">
        <v>26</v>
      </c>
      <c r="D37" s="1">
        <v>201.67</v>
      </c>
      <c r="F37" s="1">
        <v>5</v>
      </c>
      <c r="G37" s="1" t="s">
        <v>17</v>
      </c>
      <c r="H37" s="1">
        <v>35.1</v>
      </c>
      <c r="I37" s="1">
        <v>369.98</v>
      </c>
      <c r="K37" s="1">
        <v>5</v>
      </c>
      <c r="L37" s="1" t="s">
        <v>17</v>
      </c>
      <c r="M37" s="1">
        <v>35.5</v>
      </c>
      <c r="N37" s="1">
        <v>198.2</v>
      </c>
    </row>
    <row r="38" spans="1:14" x14ac:dyDescent="0.2">
      <c r="A38" s="1">
        <v>6</v>
      </c>
      <c r="B38" s="1" t="s">
        <v>18</v>
      </c>
      <c r="C38" s="1">
        <v>19</v>
      </c>
      <c r="D38" s="1">
        <v>227.06</v>
      </c>
      <c r="F38" s="1">
        <v>6</v>
      </c>
      <c r="G38" s="1" t="s">
        <v>18</v>
      </c>
      <c r="H38" s="1">
        <v>22.9</v>
      </c>
      <c r="I38" s="1">
        <v>319.06</v>
      </c>
      <c r="K38" s="1">
        <v>6</v>
      </c>
      <c r="L38" s="1" t="s">
        <v>18</v>
      </c>
      <c r="M38" s="1">
        <v>22.5</v>
      </c>
      <c r="N38" s="1">
        <v>162.5</v>
      </c>
    </row>
    <row r="39" spans="1:14" x14ac:dyDescent="0.2">
      <c r="A39" s="1">
        <v>7</v>
      </c>
      <c r="B39" s="1" t="s">
        <v>18</v>
      </c>
      <c r="C39" s="1">
        <v>26.1</v>
      </c>
      <c r="D39" s="1">
        <v>250.75</v>
      </c>
      <c r="F39" s="1">
        <v>7</v>
      </c>
      <c r="G39" s="1" t="s">
        <v>18</v>
      </c>
      <c r="H39" s="1">
        <v>31.3</v>
      </c>
      <c r="I39" s="1">
        <v>390.65</v>
      </c>
      <c r="K39" s="1">
        <v>7</v>
      </c>
      <c r="L39" s="1" t="s">
        <v>18</v>
      </c>
      <c r="M39" s="1">
        <v>30.8</v>
      </c>
      <c r="N39" s="1">
        <v>196.94</v>
      </c>
    </row>
    <row r="40" spans="1:14" x14ac:dyDescent="0.2">
      <c r="A40" s="1">
        <v>8</v>
      </c>
      <c r="B40" s="1" t="s">
        <v>19</v>
      </c>
      <c r="C40" s="1">
        <v>19</v>
      </c>
      <c r="D40" s="1">
        <v>190.34</v>
      </c>
      <c r="F40" s="1">
        <v>8</v>
      </c>
      <c r="G40" s="1" t="s">
        <v>19</v>
      </c>
      <c r="H40" s="1">
        <v>23</v>
      </c>
      <c r="I40" s="1">
        <v>295.55</v>
      </c>
      <c r="K40" s="1">
        <v>8</v>
      </c>
      <c r="L40" s="1" t="s">
        <v>19</v>
      </c>
      <c r="M40" s="1">
        <v>22.6</v>
      </c>
      <c r="N40" s="1">
        <v>158.37</v>
      </c>
    </row>
    <row r="41" spans="1:14" x14ac:dyDescent="0.2">
      <c r="A41" s="1">
        <v>9</v>
      </c>
      <c r="B41" s="1" t="s">
        <v>19</v>
      </c>
      <c r="C41" s="1">
        <v>25.6</v>
      </c>
      <c r="D41" s="1">
        <v>238.64</v>
      </c>
      <c r="F41" s="1">
        <v>9</v>
      </c>
      <c r="G41" s="1" t="s">
        <v>19</v>
      </c>
      <c r="H41" s="1">
        <v>31</v>
      </c>
      <c r="I41" s="1">
        <v>332.1</v>
      </c>
      <c r="K41" s="1">
        <v>9</v>
      </c>
      <c r="L41" s="1" t="s">
        <v>19</v>
      </c>
      <c r="M41" s="1">
        <v>30.5</v>
      </c>
      <c r="N41" s="1">
        <v>183.51</v>
      </c>
    </row>
    <row r="42" spans="1:14" x14ac:dyDescent="0.2">
      <c r="A42" s="1">
        <v>10</v>
      </c>
      <c r="B42" s="1" t="s">
        <v>17</v>
      </c>
      <c r="C42" s="1">
        <v>24.5</v>
      </c>
      <c r="D42" s="1">
        <v>252.92</v>
      </c>
      <c r="F42" s="1">
        <v>10</v>
      </c>
      <c r="G42" s="1" t="s">
        <v>17</v>
      </c>
      <c r="H42" s="1">
        <v>29.6</v>
      </c>
      <c r="I42" s="1">
        <v>403.11</v>
      </c>
      <c r="K42" s="1">
        <v>10</v>
      </c>
      <c r="L42" s="1" t="s">
        <v>17</v>
      </c>
      <c r="M42" s="1">
        <v>29.2</v>
      </c>
      <c r="N42" s="1">
        <v>216.39</v>
      </c>
    </row>
    <row r="43" spans="1:14" x14ac:dyDescent="0.2">
      <c r="A43" s="1">
        <v>11</v>
      </c>
      <c r="B43" s="1" t="s">
        <v>17</v>
      </c>
      <c r="C43" s="1">
        <v>30.8</v>
      </c>
      <c r="D43" s="1">
        <v>276.22000000000003</v>
      </c>
      <c r="F43" s="1">
        <v>11</v>
      </c>
      <c r="G43" s="1" t="s">
        <v>17</v>
      </c>
      <c r="H43" s="1">
        <v>36.9</v>
      </c>
      <c r="I43" s="1">
        <v>414.66</v>
      </c>
      <c r="K43" s="1">
        <v>11</v>
      </c>
      <c r="L43" s="1" t="s">
        <v>17</v>
      </c>
      <c r="M43" s="1">
        <v>36.1</v>
      </c>
      <c r="N43" s="1">
        <v>222.88</v>
      </c>
    </row>
    <row r="44" spans="1:14" x14ac:dyDescent="0.2">
      <c r="A44" s="1">
        <v>12</v>
      </c>
      <c r="B44" s="1" t="s">
        <v>18</v>
      </c>
      <c r="C44" s="1">
        <v>24.6</v>
      </c>
      <c r="D44" s="1">
        <v>318.51</v>
      </c>
      <c r="F44" s="1">
        <v>12</v>
      </c>
      <c r="G44" s="1" t="s">
        <v>18</v>
      </c>
      <c r="H44" s="1">
        <v>29.5</v>
      </c>
      <c r="I44" s="1">
        <v>423.57</v>
      </c>
      <c r="K44" s="1">
        <v>12</v>
      </c>
      <c r="L44" s="1" t="s">
        <v>18</v>
      </c>
      <c r="M44" s="1">
        <v>28.9</v>
      </c>
      <c r="N44" s="1">
        <v>234.1</v>
      </c>
    </row>
    <row r="45" spans="1:14" x14ac:dyDescent="0.2">
      <c r="A45" s="1">
        <v>13</v>
      </c>
      <c r="B45" s="1" t="s">
        <v>18</v>
      </c>
      <c r="C45" s="1">
        <v>30.8</v>
      </c>
      <c r="D45" s="1">
        <v>326.7</v>
      </c>
      <c r="F45" s="1">
        <v>13</v>
      </c>
      <c r="G45" s="1" t="s">
        <v>18</v>
      </c>
      <c r="H45" s="1">
        <v>36.9</v>
      </c>
      <c r="I45" s="1">
        <v>483.77</v>
      </c>
      <c r="K45" s="1">
        <v>13</v>
      </c>
      <c r="L45" s="1" t="s">
        <v>18</v>
      </c>
      <c r="M45" s="1">
        <v>36.200000000000003</v>
      </c>
      <c r="N45" s="1">
        <v>297.60000000000002</v>
      </c>
    </row>
    <row r="46" spans="1:14" x14ac:dyDescent="0.2">
      <c r="A46" s="1">
        <v>14</v>
      </c>
      <c r="B46" s="1" t="s">
        <v>19</v>
      </c>
      <c r="C46" s="1">
        <v>24.6</v>
      </c>
      <c r="D46" s="1">
        <v>277.42</v>
      </c>
      <c r="F46" s="1">
        <v>14</v>
      </c>
      <c r="G46" s="1" t="s">
        <v>19</v>
      </c>
      <c r="H46" s="1">
        <v>29.8</v>
      </c>
      <c r="I46" s="1">
        <v>401.55</v>
      </c>
      <c r="K46" s="1">
        <v>14</v>
      </c>
      <c r="L46" s="1" t="s">
        <v>19</v>
      </c>
      <c r="M46" s="1">
        <v>29.2</v>
      </c>
      <c r="N46" s="1">
        <v>239.77</v>
      </c>
    </row>
    <row r="47" spans="1:14" x14ac:dyDescent="0.2">
      <c r="A47" s="1">
        <v>15</v>
      </c>
      <c r="B47" s="1" t="s">
        <v>19</v>
      </c>
      <c r="C47" s="1">
        <v>30.4</v>
      </c>
      <c r="D47" s="1">
        <v>285.92</v>
      </c>
      <c r="F47" s="1">
        <v>15</v>
      </c>
      <c r="G47" s="1" t="s">
        <v>19</v>
      </c>
      <c r="H47" s="1">
        <v>36.799999999999997</v>
      </c>
      <c r="I47" s="1">
        <v>490.71</v>
      </c>
      <c r="K47" s="1">
        <v>15</v>
      </c>
      <c r="L47" s="1" t="s">
        <v>19</v>
      </c>
      <c r="M47" s="1">
        <v>35.9</v>
      </c>
      <c r="N47" s="1">
        <v>252.96</v>
      </c>
    </row>
  </sheetData>
  <mergeCells count="6">
    <mergeCell ref="A2:C2"/>
    <mergeCell ref="E2:G2"/>
    <mergeCell ref="I2:K2"/>
    <mergeCell ref="A1:C1"/>
    <mergeCell ref="E1:G1"/>
    <mergeCell ref="I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FC79-E750-4217-A15E-EE063C5324B1}">
  <dimension ref="A2:O47"/>
  <sheetViews>
    <sheetView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13.31640625" style="1" customWidth="1"/>
    <col min="3" max="3" width="16.54296875" style="1" customWidth="1"/>
    <col min="4" max="4" width="11.56640625" style="1" bestFit="1" customWidth="1"/>
    <col min="5" max="6" width="9.14453125" style="1"/>
    <col min="7" max="7" width="17.08203125" style="1" customWidth="1"/>
    <col min="8" max="8" width="9.14453125" style="1"/>
    <col min="9" max="9" width="11.43359375" style="1" customWidth="1"/>
    <col min="10" max="10" width="16.0078125" style="1" customWidth="1"/>
    <col min="11" max="11" width="14.66015625" style="1" customWidth="1"/>
    <col min="12" max="14" width="9.14453125" style="1"/>
    <col min="15" max="15" width="7.398437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ht="15" customHeight="1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</row>
    <row r="3" spans="1:15" ht="27.75" x14ac:dyDescent="0.2">
      <c r="A3" s="1" t="s">
        <v>33</v>
      </c>
      <c r="B3" s="1" t="s">
        <v>34</v>
      </c>
      <c r="C3" s="1" t="s">
        <v>9</v>
      </c>
      <c r="E3" s="1" t="s">
        <v>33</v>
      </c>
      <c r="F3" s="1" t="s">
        <v>34</v>
      </c>
      <c r="G3" s="1" t="s">
        <v>9</v>
      </c>
      <c r="I3" s="1" t="s">
        <v>33</v>
      </c>
      <c r="J3" s="1" t="s">
        <v>34</v>
      </c>
      <c r="K3" s="1" t="s">
        <v>9</v>
      </c>
      <c r="M3" s="1" t="s">
        <v>17</v>
      </c>
      <c r="N3" s="1" t="s">
        <v>18</v>
      </c>
      <c r="O3" s="1" t="s">
        <v>19</v>
      </c>
    </row>
    <row r="4" spans="1:15" x14ac:dyDescent="0.2">
      <c r="A4" s="1" t="s">
        <v>35</v>
      </c>
      <c r="B4" s="1">
        <v>4</v>
      </c>
      <c r="C4" s="27">
        <f>D36</f>
        <v>2.07E-2</v>
      </c>
      <c r="E4" s="1" t="s">
        <v>35</v>
      </c>
      <c r="F4" s="1">
        <v>6</v>
      </c>
      <c r="G4" s="27">
        <f>D38</f>
        <v>1.61E-2</v>
      </c>
      <c r="I4" s="1" t="s">
        <v>35</v>
      </c>
      <c r="J4" s="1">
        <v>8</v>
      </c>
      <c r="K4" s="27">
        <f>D40</f>
        <v>5.8700000000000002E-2</v>
      </c>
      <c r="M4" s="27">
        <f>C4</f>
        <v>2.07E-2</v>
      </c>
      <c r="N4" s="27">
        <f>G4</f>
        <v>1.61E-2</v>
      </c>
      <c r="O4" s="27">
        <f>K4</f>
        <v>5.8700000000000002E-2</v>
      </c>
    </row>
    <row r="5" spans="1:15" x14ac:dyDescent="0.2">
      <c r="A5" s="1" t="s">
        <v>35</v>
      </c>
      <c r="B5" s="1">
        <v>5</v>
      </c>
      <c r="C5" s="27">
        <f t="shared" ref="C5:C15" si="0">D37</f>
        <v>6.0999999999999999E-2</v>
      </c>
      <c r="E5" s="1" t="s">
        <v>35</v>
      </c>
      <c r="F5" s="1">
        <v>7</v>
      </c>
      <c r="G5" s="27">
        <f>D39</f>
        <v>8.9300000000000004E-2</v>
      </c>
      <c r="I5" s="1" t="s">
        <v>35</v>
      </c>
      <c r="J5" s="1">
        <v>9</v>
      </c>
      <c r="K5" s="27">
        <f>D41</f>
        <v>2.5600000000000001E-2</v>
      </c>
      <c r="M5" s="27">
        <f t="shared" ref="M5:M15" si="1">C5</f>
        <v>6.0999999999999999E-2</v>
      </c>
      <c r="N5" s="27">
        <f t="shared" ref="N5:N15" si="2">G5</f>
        <v>8.9300000000000004E-2</v>
      </c>
      <c r="O5" s="27">
        <f t="shared" ref="O5:O15" si="3">K5</f>
        <v>2.5600000000000001E-2</v>
      </c>
    </row>
    <row r="6" spans="1:15" x14ac:dyDescent="0.2">
      <c r="A6" s="1" t="s">
        <v>35</v>
      </c>
      <c r="B6" s="1">
        <v>10</v>
      </c>
      <c r="C6" s="27">
        <f t="shared" si="0"/>
        <v>1.61E-2</v>
      </c>
      <c r="E6" s="1" t="s">
        <v>35</v>
      </c>
      <c r="F6" s="1">
        <v>12</v>
      </c>
      <c r="G6" s="27">
        <f>D44</f>
        <v>2.0199999999999999E-2</v>
      </c>
      <c r="I6" s="1" t="s">
        <v>35</v>
      </c>
      <c r="J6" s="1">
        <v>14</v>
      </c>
      <c r="K6" s="27">
        <f>D46</f>
        <v>3.9199999999999999E-2</v>
      </c>
      <c r="M6" s="27">
        <f t="shared" si="1"/>
        <v>1.61E-2</v>
      </c>
      <c r="N6" s="27">
        <f t="shared" si="2"/>
        <v>2.0199999999999999E-2</v>
      </c>
      <c r="O6" s="27">
        <f t="shared" si="3"/>
        <v>3.9199999999999999E-2</v>
      </c>
    </row>
    <row r="7" spans="1:15" x14ac:dyDescent="0.2">
      <c r="A7" s="1" t="s">
        <v>35</v>
      </c>
      <c r="B7" s="1">
        <v>11</v>
      </c>
      <c r="C7" s="27">
        <f t="shared" si="0"/>
        <v>8.9300000000000004E-2</v>
      </c>
      <c r="E7" s="1" t="s">
        <v>35</v>
      </c>
      <c r="F7" s="1">
        <v>13</v>
      </c>
      <c r="G7" s="27">
        <f>D45</f>
        <v>0.1067</v>
      </c>
      <c r="I7" s="1" t="s">
        <v>35</v>
      </c>
      <c r="J7" s="1">
        <v>15</v>
      </c>
      <c r="K7" s="27">
        <f>D47</f>
        <v>9.69E-2</v>
      </c>
      <c r="M7" s="27">
        <f t="shared" si="1"/>
        <v>8.9300000000000004E-2</v>
      </c>
      <c r="N7" s="27">
        <f t="shared" si="2"/>
        <v>0.1067</v>
      </c>
      <c r="O7" s="27">
        <f t="shared" si="3"/>
        <v>9.69E-2</v>
      </c>
    </row>
    <row r="8" spans="1:15" x14ac:dyDescent="0.2">
      <c r="A8" s="1" t="s">
        <v>36</v>
      </c>
      <c r="B8" s="1">
        <v>4</v>
      </c>
      <c r="C8" s="27">
        <f t="shared" si="0"/>
        <v>5.8700000000000002E-2</v>
      </c>
      <c r="E8" s="1" t="s">
        <v>36</v>
      </c>
      <c r="F8" s="1">
        <v>6</v>
      </c>
      <c r="G8" s="27">
        <f>I38</f>
        <v>6.7299999999999999E-2</v>
      </c>
      <c r="I8" s="1" t="s">
        <v>36</v>
      </c>
      <c r="J8" s="1">
        <v>8</v>
      </c>
      <c r="K8" s="27">
        <f>I40</f>
        <v>8.14E-2</v>
      </c>
      <c r="M8" s="27">
        <f t="shared" si="1"/>
        <v>5.8700000000000002E-2</v>
      </c>
      <c r="N8" s="27">
        <f t="shared" si="2"/>
        <v>6.7299999999999999E-2</v>
      </c>
      <c r="O8" s="27">
        <f t="shared" si="3"/>
        <v>8.14E-2</v>
      </c>
    </row>
    <row r="9" spans="1:15" x14ac:dyDescent="0.2">
      <c r="A9" s="1" t="s">
        <v>36</v>
      </c>
      <c r="B9" s="1">
        <v>5</v>
      </c>
      <c r="C9" s="27">
        <f t="shared" si="0"/>
        <v>2.5600000000000001E-2</v>
      </c>
      <c r="E9" s="1" t="s">
        <v>36</v>
      </c>
      <c r="F9" s="1">
        <v>7</v>
      </c>
      <c r="G9" s="27">
        <f>I39</f>
        <v>0.12230000000000001</v>
      </c>
      <c r="I9" s="1" t="s">
        <v>36</v>
      </c>
      <c r="J9" s="1">
        <v>9</v>
      </c>
      <c r="K9" s="27">
        <f>I41</f>
        <v>0.1101</v>
      </c>
      <c r="M9" s="27">
        <f t="shared" si="1"/>
        <v>2.5600000000000001E-2</v>
      </c>
      <c r="N9" s="27">
        <f t="shared" si="2"/>
        <v>0.12230000000000001</v>
      </c>
      <c r="O9" s="27">
        <f t="shared" si="3"/>
        <v>0.1101</v>
      </c>
    </row>
    <row r="10" spans="1:15" x14ac:dyDescent="0.2">
      <c r="A10" s="1" t="s">
        <v>36</v>
      </c>
      <c r="B10" s="1">
        <v>10</v>
      </c>
      <c r="C10" s="27">
        <f t="shared" si="0"/>
        <v>7.9100000000000004E-2</v>
      </c>
      <c r="E10" s="1" t="s">
        <v>36</v>
      </c>
      <c r="F10" s="1">
        <v>12</v>
      </c>
      <c r="G10" s="27">
        <f>I44</f>
        <v>7.0400000000000004E-2</v>
      </c>
      <c r="I10" s="1" t="s">
        <v>36</v>
      </c>
      <c r="J10" s="1">
        <v>14</v>
      </c>
      <c r="K10" s="27">
        <f>I46</f>
        <v>9.0700000000000003E-2</v>
      </c>
      <c r="M10" s="27">
        <f t="shared" si="1"/>
        <v>7.9100000000000004E-2</v>
      </c>
      <c r="N10" s="27">
        <f t="shared" si="2"/>
        <v>7.0400000000000004E-2</v>
      </c>
      <c r="O10" s="27">
        <f t="shared" si="3"/>
        <v>9.0700000000000003E-2</v>
      </c>
    </row>
    <row r="11" spans="1:15" x14ac:dyDescent="0.2">
      <c r="A11" s="1" t="s">
        <v>36</v>
      </c>
      <c r="B11" s="1">
        <v>11</v>
      </c>
      <c r="C11" s="27">
        <f t="shared" si="0"/>
        <v>0.13070000000000001</v>
      </c>
      <c r="E11" s="1" t="s">
        <v>36</v>
      </c>
      <c r="F11" s="1">
        <v>13</v>
      </c>
      <c r="G11" s="27">
        <f>I45</f>
        <v>0.13370000000000001</v>
      </c>
      <c r="I11" s="1" t="s">
        <v>36</v>
      </c>
      <c r="J11" s="1">
        <v>15</v>
      </c>
      <c r="K11" s="27">
        <f>I47</f>
        <v>6.6299999999999998E-2</v>
      </c>
      <c r="M11" s="27">
        <f t="shared" si="1"/>
        <v>0.13070000000000001</v>
      </c>
      <c r="N11" s="27">
        <f t="shared" si="2"/>
        <v>0.13370000000000001</v>
      </c>
      <c r="O11" s="27">
        <f t="shared" si="3"/>
        <v>6.6299999999999998E-2</v>
      </c>
    </row>
    <row r="12" spans="1:15" x14ac:dyDescent="0.2">
      <c r="A12" s="1" t="s">
        <v>37</v>
      </c>
      <c r="B12" s="1">
        <v>4</v>
      </c>
      <c r="C12" s="27">
        <f t="shared" si="0"/>
        <v>2.0199999999999999E-2</v>
      </c>
      <c r="E12" s="1" t="s">
        <v>37</v>
      </c>
      <c r="F12" s="1">
        <v>6</v>
      </c>
      <c r="G12" s="27">
        <f>N38</f>
        <v>7.5200000000000003E-2</v>
      </c>
      <c r="I12" s="1" t="s">
        <v>37</v>
      </c>
      <c r="J12" s="1">
        <v>8</v>
      </c>
      <c r="K12" s="27">
        <f>N40</f>
        <v>4.0099999999999997E-2</v>
      </c>
      <c r="M12" s="27">
        <f t="shared" si="1"/>
        <v>2.0199999999999999E-2</v>
      </c>
      <c r="N12" s="27">
        <f t="shared" si="2"/>
        <v>7.5200000000000003E-2</v>
      </c>
      <c r="O12" s="27">
        <f t="shared" si="3"/>
        <v>4.0099999999999997E-2</v>
      </c>
    </row>
    <row r="13" spans="1:15" x14ac:dyDescent="0.2">
      <c r="A13" s="1" t="s">
        <v>37</v>
      </c>
      <c r="B13" s="1">
        <v>5</v>
      </c>
      <c r="C13" s="27">
        <f t="shared" si="0"/>
        <v>0.1067</v>
      </c>
      <c r="E13" s="1" t="s">
        <v>37</v>
      </c>
      <c r="F13" s="1">
        <v>7</v>
      </c>
      <c r="G13" s="27">
        <f>N39</f>
        <v>0.11849999999999999</v>
      </c>
      <c r="I13" s="1" t="s">
        <v>37</v>
      </c>
      <c r="J13" s="1">
        <v>9</v>
      </c>
      <c r="K13" s="27">
        <f>N41</f>
        <v>0.12039999999999999</v>
      </c>
      <c r="M13" s="27">
        <f t="shared" si="1"/>
        <v>0.1067</v>
      </c>
      <c r="N13" s="27">
        <f t="shared" si="2"/>
        <v>0.11849999999999999</v>
      </c>
      <c r="O13" s="27">
        <f t="shared" si="3"/>
        <v>0.12039999999999999</v>
      </c>
    </row>
    <row r="14" spans="1:15" x14ac:dyDescent="0.2">
      <c r="A14" s="1" t="s">
        <v>37</v>
      </c>
      <c r="B14" s="1">
        <v>10</v>
      </c>
      <c r="C14" s="27">
        <f t="shared" si="0"/>
        <v>3.9199999999999999E-2</v>
      </c>
      <c r="E14" s="1" t="s">
        <v>37</v>
      </c>
      <c r="F14" s="1">
        <v>12</v>
      </c>
      <c r="G14" s="27">
        <f>N44</f>
        <v>7.2300000000000003E-2</v>
      </c>
      <c r="I14" s="1" t="s">
        <v>37</v>
      </c>
      <c r="J14" s="1">
        <v>14</v>
      </c>
      <c r="K14" s="27">
        <f>N46</f>
        <v>4.5499999999999999E-2</v>
      </c>
      <c r="M14" s="27">
        <f t="shared" si="1"/>
        <v>3.9199999999999999E-2</v>
      </c>
      <c r="N14" s="27">
        <f t="shared" si="2"/>
        <v>7.2300000000000003E-2</v>
      </c>
      <c r="O14" s="27">
        <f t="shared" si="3"/>
        <v>4.5499999999999999E-2</v>
      </c>
    </row>
    <row r="15" spans="1:15" x14ac:dyDescent="0.2">
      <c r="A15" s="1" t="s">
        <v>37</v>
      </c>
      <c r="B15" s="1">
        <v>11</v>
      </c>
      <c r="C15" s="27">
        <f t="shared" si="0"/>
        <v>9.69E-2</v>
      </c>
      <c r="E15" s="1" t="s">
        <v>37</v>
      </c>
      <c r="F15" s="1">
        <v>13</v>
      </c>
      <c r="G15" s="27">
        <f>N45</f>
        <v>4.5499999999999999E-2</v>
      </c>
      <c r="I15" s="1" t="s">
        <v>37</v>
      </c>
      <c r="J15" s="1">
        <v>15</v>
      </c>
      <c r="K15" s="27">
        <f>N47</f>
        <v>7.9399999999999998E-2</v>
      </c>
      <c r="M15" s="27">
        <f t="shared" si="1"/>
        <v>9.69E-2</v>
      </c>
      <c r="N15" s="27">
        <f t="shared" si="2"/>
        <v>4.5499999999999999E-2</v>
      </c>
      <c r="O15" s="27">
        <f t="shared" si="3"/>
        <v>7.9399999999999998E-2</v>
      </c>
    </row>
    <row r="16" spans="1:15" ht="41.25" x14ac:dyDescent="0.2">
      <c r="A16" s="1" t="s">
        <v>38</v>
      </c>
      <c r="B16" s="1" t="s">
        <v>44</v>
      </c>
      <c r="C16" s="27"/>
      <c r="G16" s="27"/>
      <c r="K16" s="27"/>
    </row>
    <row r="17" spans="1:2" x14ac:dyDescent="0.2">
      <c r="A17" s="1" t="s">
        <v>17</v>
      </c>
      <c r="B17" s="27">
        <f>AVERAGE(C4:C15)</f>
        <v>6.2016666666666664E-2</v>
      </c>
    </row>
    <row r="18" spans="1:2" x14ac:dyDescent="0.2">
      <c r="A18" s="1" t="s">
        <v>18</v>
      </c>
      <c r="B18" s="27">
        <f>AVERAGE(G4:G15)</f>
        <v>7.8125000000000014E-2</v>
      </c>
    </row>
    <row r="19" spans="1:2" x14ac:dyDescent="0.2">
      <c r="A19" s="1" t="s">
        <v>19</v>
      </c>
      <c r="B19" s="27">
        <f>AVERAGE(K4:K15)</f>
        <v>7.1191666666666667E-2</v>
      </c>
    </row>
    <row r="21" spans="1:2" ht="27.75" x14ac:dyDescent="0.2">
      <c r="A21" s="1" t="s">
        <v>40</v>
      </c>
      <c r="B21" s="79">
        <f>(1-B19/B17)</f>
        <v>-0.14794410104810529</v>
      </c>
    </row>
    <row r="31" spans="1:2" ht="40.5" customHeight="1" x14ac:dyDescent="0.2"/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3</v>
      </c>
      <c r="C35" s="1" t="s">
        <v>6</v>
      </c>
      <c r="D35" s="1" t="s">
        <v>9</v>
      </c>
      <c r="F35" s="1" t="s">
        <v>2</v>
      </c>
      <c r="G35" s="1" t="s">
        <v>3</v>
      </c>
      <c r="H35" s="1" t="s">
        <v>6</v>
      </c>
      <c r="I35" s="1" t="s">
        <v>9</v>
      </c>
      <c r="K35" s="1" t="s">
        <v>2</v>
      </c>
      <c r="L35" s="1" t="s">
        <v>3</v>
      </c>
      <c r="M35" s="1" t="s">
        <v>6</v>
      </c>
      <c r="N35" s="1" t="s">
        <v>9</v>
      </c>
    </row>
    <row r="36" spans="1:14" x14ac:dyDescent="0.2">
      <c r="A36" s="1">
        <v>4</v>
      </c>
      <c r="B36" s="1" t="s">
        <v>17</v>
      </c>
      <c r="C36" s="1">
        <v>19.2</v>
      </c>
      <c r="D36" s="1">
        <v>2.07E-2</v>
      </c>
      <c r="F36" s="1">
        <v>4</v>
      </c>
      <c r="G36" s="1" t="s">
        <v>17</v>
      </c>
      <c r="H36" s="1">
        <v>23</v>
      </c>
      <c r="I36" s="1">
        <v>7.9799999999999996E-2</v>
      </c>
      <c r="K36" s="1">
        <v>4</v>
      </c>
      <c r="L36" s="1" t="s">
        <v>17</v>
      </c>
      <c r="M36" s="1">
        <v>24.4</v>
      </c>
      <c r="N36" s="1">
        <v>9.9400000000000002E-2</v>
      </c>
    </row>
    <row r="37" spans="1:14" x14ac:dyDescent="0.2">
      <c r="A37" s="1">
        <v>5</v>
      </c>
      <c r="B37" s="1" t="s">
        <v>17</v>
      </c>
      <c r="C37" s="1">
        <v>26</v>
      </c>
      <c r="D37" s="1">
        <v>6.0999999999999999E-2</v>
      </c>
      <c r="F37" s="1">
        <v>5</v>
      </c>
      <c r="G37" s="1" t="s">
        <v>17</v>
      </c>
      <c r="H37" s="1">
        <v>35.1</v>
      </c>
      <c r="I37" s="1">
        <v>0.13500000000000001</v>
      </c>
      <c r="K37" s="1">
        <v>5</v>
      </c>
      <c r="L37" s="1" t="s">
        <v>17</v>
      </c>
      <c r="M37" s="1">
        <v>35.5</v>
      </c>
      <c r="N37" s="1">
        <v>0.2044</v>
      </c>
    </row>
    <row r="38" spans="1:14" x14ac:dyDescent="0.2">
      <c r="A38" s="1">
        <v>6</v>
      </c>
      <c r="B38" s="1" t="s">
        <v>18</v>
      </c>
      <c r="C38" s="1">
        <v>19</v>
      </c>
      <c r="D38" s="1">
        <v>1.61E-2</v>
      </c>
      <c r="F38" s="1">
        <v>6</v>
      </c>
      <c r="G38" s="1" t="s">
        <v>18</v>
      </c>
      <c r="H38" s="1">
        <v>22.9</v>
      </c>
      <c r="I38" s="1">
        <v>6.7299999999999999E-2</v>
      </c>
      <c r="K38" s="1">
        <v>6</v>
      </c>
      <c r="L38" s="1" t="s">
        <v>18</v>
      </c>
      <c r="M38" s="1">
        <v>22.5</v>
      </c>
      <c r="N38" s="1">
        <v>7.5200000000000003E-2</v>
      </c>
    </row>
    <row r="39" spans="1:14" x14ac:dyDescent="0.2">
      <c r="A39" s="1">
        <v>7</v>
      </c>
      <c r="B39" s="1" t="s">
        <v>18</v>
      </c>
      <c r="C39" s="1">
        <v>26.1</v>
      </c>
      <c r="D39" s="1">
        <v>8.9300000000000004E-2</v>
      </c>
      <c r="F39" s="1">
        <v>7</v>
      </c>
      <c r="G39" s="1" t="s">
        <v>18</v>
      </c>
      <c r="H39" s="1">
        <v>31.3</v>
      </c>
      <c r="I39" s="1">
        <v>0.12230000000000001</v>
      </c>
      <c r="K39" s="1">
        <v>7</v>
      </c>
      <c r="L39" s="1" t="s">
        <v>18</v>
      </c>
      <c r="M39" s="1">
        <v>30.8</v>
      </c>
      <c r="N39" s="1">
        <v>0.11849999999999999</v>
      </c>
    </row>
    <row r="40" spans="1:14" x14ac:dyDescent="0.2">
      <c r="A40" s="1">
        <v>8</v>
      </c>
      <c r="B40" s="1" t="s">
        <v>19</v>
      </c>
      <c r="C40" s="1">
        <v>19</v>
      </c>
      <c r="D40" s="1">
        <v>5.8700000000000002E-2</v>
      </c>
      <c r="F40" s="1">
        <v>8</v>
      </c>
      <c r="G40" s="1" t="s">
        <v>19</v>
      </c>
      <c r="H40" s="1">
        <v>23</v>
      </c>
      <c r="I40" s="1">
        <v>8.14E-2</v>
      </c>
      <c r="K40" s="1">
        <v>8</v>
      </c>
      <c r="L40" s="1" t="s">
        <v>19</v>
      </c>
      <c r="M40" s="1">
        <v>22.6</v>
      </c>
      <c r="N40" s="1">
        <v>4.0099999999999997E-2</v>
      </c>
    </row>
    <row r="41" spans="1:14" x14ac:dyDescent="0.2">
      <c r="A41" s="1">
        <v>9</v>
      </c>
      <c r="B41" s="1" t="s">
        <v>19</v>
      </c>
      <c r="C41" s="1">
        <v>25.6</v>
      </c>
      <c r="D41" s="1">
        <v>2.5600000000000001E-2</v>
      </c>
      <c r="F41" s="1">
        <v>9</v>
      </c>
      <c r="G41" s="1" t="s">
        <v>19</v>
      </c>
      <c r="H41" s="1">
        <v>31</v>
      </c>
      <c r="I41" s="1">
        <v>0.1101</v>
      </c>
      <c r="K41" s="1">
        <v>9</v>
      </c>
      <c r="L41" s="1" t="s">
        <v>19</v>
      </c>
      <c r="M41" s="1">
        <v>30.5</v>
      </c>
      <c r="N41" s="1">
        <v>0.12039999999999999</v>
      </c>
    </row>
    <row r="42" spans="1:14" x14ac:dyDescent="0.2">
      <c r="A42" s="1">
        <v>10</v>
      </c>
      <c r="B42" s="1" t="s">
        <v>17</v>
      </c>
      <c r="C42" s="1">
        <v>24.5</v>
      </c>
      <c r="D42" s="1">
        <v>7.9100000000000004E-2</v>
      </c>
      <c r="F42" s="1">
        <v>10</v>
      </c>
      <c r="G42" s="1" t="s">
        <v>17</v>
      </c>
      <c r="H42" s="1">
        <v>29.6</v>
      </c>
      <c r="I42" s="1">
        <v>0.1157</v>
      </c>
      <c r="K42" s="1">
        <v>10</v>
      </c>
      <c r="L42" s="1" t="s">
        <v>17</v>
      </c>
      <c r="M42" s="1">
        <v>29.2</v>
      </c>
      <c r="N42" s="1">
        <v>8.8499999999999995E-2</v>
      </c>
    </row>
    <row r="43" spans="1:14" x14ac:dyDescent="0.2">
      <c r="A43" s="1">
        <v>11</v>
      </c>
      <c r="B43" s="1" t="s">
        <v>17</v>
      </c>
      <c r="C43" s="1">
        <v>30.8</v>
      </c>
      <c r="D43" s="1">
        <v>0.13070000000000001</v>
      </c>
      <c r="F43" s="1">
        <v>11</v>
      </c>
      <c r="G43" s="1" t="s">
        <v>17</v>
      </c>
      <c r="H43" s="1">
        <v>36.9</v>
      </c>
      <c r="I43" s="1">
        <v>0.1236</v>
      </c>
      <c r="K43" s="1">
        <v>11</v>
      </c>
      <c r="L43" s="1" t="s">
        <v>17</v>
      </c>
      <c r="M43" s="1">
        <v>36.1</v>
      </c>
      <c r="N43" s="1">
        <v>0.16589999999999999</v>
      </c>
    </row>
    <row r="44" spans="1:14" x14ac:dyDescent="0.2">
      <c r="A44" s="1">
        <v>12</v>
      </c>
      <c r="B44" s="1" t="s">
        <v>18</v>
      </c>
      <c r="C44" s="1">
        <v>24.6</v>
      </c>
      <c r="D44" s="1">
        <v>2.0199999999999999E-2</v>
      </c>
      <c r="F44" s="1">
        <v>12</v>
      </c>
      <c r="G44" s="1" t="s">
        <v>18</v>
      </c>
      <c r="H44" s="1">
        <v>29.5</v>
      </c>
      <c r="I44" s="1">
        <v>7.0400000000000004E-2</v>
      </c>
      <c r="K44" s="1">
        <v>12</v>
      </c>
      <c r="L44" s="1" t="s">
        <v>18</v>
      </c>
      <c r="M44" s="1">
        <v>28.9</v>
      </c>
      <c r="N44" s="1">
        <v>7.2300000000000003E-2</v>
      </c>
    </row>
    <row r="45" spans="1:14" x14ac:dyDescent="0.2">
      <c r="A45" s="1">
        <v>13</v>
      </c>
      <c r="B45" s="1" t="s">
        <v>18</v>
      </c>
      <c r="C45" s="1">
        <v>30.8</v>
      </c>
      <c r="D45" s="1">
        <v>0.1067</v>
      </c>
      <c r="F45" s="1">
        <v>13</v>
      </c>
      <c r="G45" s="1" t="s">
        <v>18</v>
      </c>
      <c r="H45" s="1">
        <v>36.9</v>
      </c>
      <c r="I45" s="1">
        <v>0.13370000000000001</v>
      </c>
      <c r="K45" s="1">
        <v>13</v>
      </c>
      <c r="L45" s="1" t="s">
        <v>18</v>
      </c>
      <c r="M45" s="1">
        <v>36.200000000000003</v>
      </c>
      <c r="N45" s="1">
        <v>4.5499999999999999E-2</v>
      </c>
    </row>
    <row r="46" spans="1:14" x14ac:dyDescent="0.2">
      <c r="A46" s="1">
        <v>14</v>
      </c>
      <c r="B46" s="1" t="s">
        <v>19</v>
      </c>
      <c r="C46" s="1">
        <v>24.6</v>
      </c>
      <c r="D46" s="1">
        <v>3.9199999999999999E-2</v>
      </c>
      <c r="F46" s="1">
        <v>14</v>
      </c>
      <c r="G46" s="1" t="s">
        <v>19</v>
      </c>
      <c r="H46" s="1">
        <v>29.8</v>
      </c>
      <c r="I46" s="1">
        <v>9.0700000000000003E-2</v>
      </c>
      <c r="K46" s="1">
        <v>14</v>
      </c>
      <c r="L46" s="1" t="s">
        <v>19</v>
      </c>
      <c r="M46" s="1">
        <v>29.2</v>
      </c>
      <c r="N46" s="1">
        <v>4.5499999999999999E-2</v>
      </c>
    </row>
    <row r="47" spans="1:14" x14ac:dyDescent="0.2">
      <c r="A47" s="1">
        <v>15</v>
      </c>
      <c r="B47" s="1" t="s">
        <v>19</v>
      </c>
      <c r="C47" s="1">
        <v>30.4</v>
      </c>
      <c r="D47" s="1">
        <v>9.69E-2</v>
      </c>
      <c r="F47" s="1">
        <v>15</v>
      </c>
      <c r="G47" s="1" t="s">
        <v>19</v>
      </c>
      <c r="H47" s="1">
        <v>36.799999999999997</v>
      </c>
      <c r="I47" s="1">
        <v>6.6299999999999998E-2</v>
      </c>
      <c r="K47" s="1">
        <v>15</v>
      </c>
      <c r="L47" s="1" t="s">
        <v>19</v>
      </c>
      <c r="M47" s="1">
        <v>35.9</v>
      </c>
      <c r="N47" s="1">
        <v>7.9399999999999998E-2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AA5C-6D51-4373-8164-5A4EA7F1A6EE}">
  <dimension ref="A2:O47"/>
  <sheetViews>
    <sheetView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9.1445312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7.398437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17</v>
      </c>
      <c r="B2" s="104"/>
      <c r="C2" s="104"/>
      <c r="E2" s="104" t="s">
        <v>18</v>
      </c>
      <c r="F2" s="104"/>
      <c r="G2" s="104"/>
      <c r="I2" s="104" t="s">
        <v>19</v>
      </c>
      <c r="J2" s="104"/>
      <c r="K2" s="104"/>
    </row>
    <row r="3" spans="1:15" ht="27.75" x14ac:dyDescent="0.2">
      <c r="A3" s="1" t="s">
        <v>33</v>
      </c>
      <c r="B3" s="1" t="s">
        <v>34</v>
      </c>
      <c r="C3" s="1" t="s">
        <v>10</v>
      </c>
      <c r="E3" s="1" t="s">
        <v>33</v>
      </c>
      <c r="F3" s="1" t="s">
        <v>34</v>
      </c>
      <c r="G3" s="1" t="s">
        <v>10</v>
      </c>
      <c r="I3" s="1" t="s">
        <v>33</v>
      </c>
      <c r="J3" s="1" t="s">
        <v>34</v>
      </c>
      <c r="K3" s="1" t="s">
        <v>10</v>
      </c>
      <c r="M3" s="1" t="s">
        <v>17</v>
      </c>
      <c r="N3" s="1" t="s">
        <v>18</v>
      </c>
      <c r="O3" s="1" t="s">
        <v>19</v>
      </c>
    </row>
    <row r="4" spans="1:15" x14ac:dyDescent="0.2">
      <c r="A4" s="1" t="s">
        <v>35</v>
      </c>
      <c r="B4" s="1">
        <v>4</v>
      </c>
      <c r="C4" s="27">
        <f>D36</f>
        <v>0.50519999999999998</v>
      </c>
      <c r="E4" s="1" t="s">
        <v>35</v>
      </c>
      <c r="F4" s="1">
        <v>6</v>
      </c>
      <c r="G4" s="27">
        <f>D38</f>
        <v>0.4627</v>
      </c>
      <c r="I4" s="1" t="s">
        <v>35</v>
      </c>
      <c r="J4" s="1">
        <v>8</v>
      </c>
      <c r="K4" s="27">
        <f>D40</f>
        <v>0.8357</v>
      </c>
      <c r="M4" s="27">
        <f>C4</f>
        <v>0.50519999999999998</v>
      </c>
      <c r="N4" s="27">
        <f>G4</f>
        <v>0.4627</v>
      </c>
      <c r="O4" s="27">
        <f>K4</f>
        <v>0.8357</v>
      </c>
    </row>
    <row r="5" spans="1:15" x14ac:dyDescent="0.2">
      <c r="A5" s="1" t="s">
        <v>35</v>
      </c>
      <c r="B5" s="1">
        <v>5</v>
      </c>
      <c r="C5" s="27">
        <f t="shared" ref="C5:C15" si="0">D37</f>
        <v>0.88429999999999997</v>
      </c>
      <c r="E5" s="1" t="s">
        <v>35</v>
      </c>
      <c r="F5" s="1">
        <v>7</v>
      </c>
      <c r="G5" s="27">
        <f>D39</f>
        <v>1.1915</v>
      </c>
      <c r="I5" s="1" t="s">
        <v>35</v>
      </c>
      <c r="J5" s="1">
        <v>9</v>
      </c>
      <c r="K5" s="27">
        <f>D41</f>
        <v>0.60750000000000004</v>
      </c>
      <c r="M5" s="27">
        <f t="shared" ref="M5:M15" si="1">C5</f>
        <v>0.88429999999999997</v>
      </c>
      <c r="N5" s="27">
        <f t="shared" ref="N5:N15" si="2">G5</f>
        <v>1.1915</v>
      </c>
      <c r="O5" s="27">
        <f t="shared" ref="O5:O15" si="3">K5</f>
        <v>0.60750000000000004</v>
      </c>
    </row>
    <row r="6" spans="1:15" x14ac:dyDescent="0.2">
      <c r="A6" s="1" t="s">
        <v>35</v>
      </c>
      <c r="B6" s="1">
        <v>10</v>
      </c>
      <c r="C6" s="27">
        <f t="shared" si="0"/>
        <v>0.4627</v>
      </c>
      <c r="E6" s="1" t="s">
        <v>35</v>
      </c>
      <c r="F6" s="1">
        <v>12</v>
      </c>
      <c r="G6" s="27">
        <f>D44</f>
        <v>0.60750000000000004</v>
      </c>
      <c r="I6" s="1" t="s">
        <v>35</v>
      </c>
      <c r="J6" s="1">
        <v>14</v>
      </c>
      <c r="K6" s="27">
        <f>D46</f>
        <v>0.81379999999999997</v>
      </c>
      <c r="M6" s="27">
        <f t="shared" si="1"/>
        <v>0.4627</v>
      </c>
      <c r="N6" s="27">
        <f t="shared" si="2"/>
        <v>0.60750000000000004</v>
      </c>
      <c r="O6" s="27">
        <f t="shared" si="3"/>
        <v>0.81379999999999997</v>
      </c>
    </row>
    <row r="7" spans="1:15" x14ac:dyDescent="0.2">
      <c r="A7" s="1" t="s">
        <v>35</v>
      </c>
      <c r="B7" s="1">
        <v>11</v>
      </c>
      <c r="C7" s="27">
        <f t="shared" si="0"/>
        <v>1.1915</v>
      </c>
      <c r="E7" s="1" t="s">
        <v>35</v>
      </c>
      <c r="F7" s="1">
        <v>13</v>
      </c>
      <c r="G7" s="27">
        <f>D45</f>
        <v>1.4839</v>
      </c>
      <c r="I7" s="1" t="s">
        <v>35</v>
      </c>
      <c r="J7" s="1">
        <v>15</v>
      </c>
      <c r="K7" s="27">
        <f>D47</f>
        <v>1.3223</v>
      </c>
      <c r="M7" s="27">
        <f t="shared" si="1"/>
        <v>1.1915</v>
      </c>
      <c r="N7" s="27">
        <f t="shared" si="2"/>
        <v>1.4839</v>
      </c>
      <c r="O7" s="27">
        <f t="shared" si="3"/>
        <v>1.3223</v>
      </c>
    </row>
    <row r="8" spans="1:15" x14ac:dyDescent="0.2">
      <c r="A8" s="1" t="s">
        <v>36</v>
      </c>
      <c r="B8" s="1">
        <v>4</v>
      </c>
      <c r="C8" s="27">
        <f t="shared" si="0"/>
        <v>0.8357</v>
      </c>
      <c r="E8" s="1" t="s">
        <v>36</v>
      </c>
      <c r="F8" s="1">
        <v>6</v>
      </c>
      <c r="G8" s="27">
        <f>I38</f>
        <v>1.1477999999999999</v>
      </c>
      <c r="I8" s="1" t="s">
        <v>36</v>
      </c>
      <c r="J8" s="1">
        <v>8</v>
      </c>
      <c r="K8" s="27">
        <f>I40</f>
        <v>1.2306999999999999</v>
      </c>
      <c r="M8" s="27">
        <f t="shared" si="1"/>
        <v>0.8357</v>
      </c>
      <c r="N8" s="27">
        <f t="shared" si="2"/>
        <v>1.1477999999999999</v>
      </c>
      <c r="O8" s="27">
        <f t="shared" si="3"/>
        <v>1.2306999999999999</v>
      </c>
    </row>
    <row r="9" spans="1:15" x14ac:dyDescent="0.2">
      <c r="A9" s="1" t="s">
        <v>36</v>
      </c>
      <c r="B9" s="1">
        <v>5</v>
      </c>
      <c r="C9" s="27">
        <f t="shared" si="0"/>
        <v>0.60750000000000004</v>
      </c>
      <c r="E9" s="1" t="s">
        <v>36</v>
      </c>
      <c r="F9" s="1">
        <v>7</v>
      </c>
      <c r="G9" s="27">
        <f>I39</f>
        <v>1.7310000000000001</v>
      </c>
      <c r="I9" s="1" t="s">
        <v>36</v>
      </c>
      <c r="J9" s="1">
        <v>9</v>
      </c>
      <c r="K9" s="27">
        <f>I41</f>
        <v>1.5125999999999999</v>
      </c>
      <c r="M9" s="27">
        <f t="shared" si="1"/>
        <v>0.60750000000000004</v>
      </c>
      <c r="N9" s="27">
        <f t="shared" si="2"/>
        <v>1.7310000000000001</v>
      </c>
      <c r="O9" s="27">
        <f t="shared" si="3"/>
        <v>1.5125999999999999</v>
      </c>
    </row>
    <row r="10" spans="1:15" x14ac:dyDescent="0.2">
      <c r="A10" s="1" t="s">
        <v>36</v>
      </c>
      <c r="B10" s="1">
        <v>10</v>
      </c>
      <c r="C10" s="27">
        <f t="shared" si="0"/>
        <v>1.1189</v>
      </c>
      <c r="E10" s="1" t="s">
        <v>36</v>
      </c>
      <c r="F10" s="1">
        <v>12</v>
      </c>
      <c r="G10" s="27">
        <f>I44</f>
        <v>1.35</v>
      </c>
      <c r="I10" s="1" t="s">
        <v>36</v>
      </c>
      <c r="J10" s="1">
        <v>14</v>
      </c>
      <c r="K10" s="27">
        <f>I46</f>
        <v>1.4959</v>
      </c>
      <c r="M10" s="27">
        <f t="shared" si="1"/>
        <v>1.1189</v>
      </c>
      <c r="N10" s="27">
        <f t="shared" si="2"/>
        <v>1.35</v>
      </c>
      <c r="O10" s="27">
        <f t="shared" si="3"/>
        <v>1.4959</v>
      </c>
    </row>
    <row r="11" spans="1:15" x14ac:dyDescent="0.2">
      <c r="A11" s="1" t="s">
        <v>36</v>
      </c>
      <c r="B11" s="1">
        <v>11</v>
      </c>
      <c r="C11" s="27">
        <f t="shared" si="0"/>
        <v>1.518</v>
      </c>
      <c r="E11" s="1" t="s">
        <v>36</v>
      </c>
      <c r="F11" s="1">
        <v>13</v>
      </c>
      <c r="G11" s="27">
        <f>I45</f>
        <v>2.0055999999999998</v>
      </c>
      <c r="I11" s="1" t="s">
        <v>36</v>
      </c>
      <c r="J11" s="1">
        <v>15</v>
      </c>
      <c r="K11" s="27">
        <f>I47</f>
        <v>1.401</v>
      </c>
      <c r="M11" s="27">
        <f t="shared" si="1"/>
        <v>1.518</v>
      </c>
      <c r="N11" s="27">
        <f t="shared" si="2"/>
        <v>2.0055999999999998</v>
      </c>
      <c r="O11" s="27">
        <f t="shared" si="3"/>
        <v>1.401</v>
      </c>
    </row>
    <row r="12" spans="1:15" x14ac:dyDescent="0.2">
      <c r="A12" s="1" t="s">
        <v>37</v>
      </c>
      <c r="B12" s="1">
        <v>4</v>
      </c>
      <c r="C12" s="27">
        <f t="shared" si="0"/>
        <v>0.60750000000000004</v>
      </c>
      <c r="E12" s="1" t="s">
        <v>37</v>
      </c>
      <c r="F12" s="1">
        <v>6</v>
      </c>
      <c r="G12" s="27">
        <f>N38</f>
        <v>0.85489999999999999</v>
      </c>
      <c r="I12" s="1" t="s">
        <v>37</v>
      </c>
      <c r="J12" s="1">
        <v>8</v>
      </c>
      <c r="K12" s="27">
        <f>N40</f>
        <v>0.63260000000000005</v>
      </c>
      <c r="M12" s="27">
        <f t="shared" si="1"/>
        <v>0.60750000000000004</v>
      </c>
      <c r="N12" s="27">
        <f t="shared" si="2"/>
        <v>0.85489999999999999</v>
      </c>
      <c r="O12" s="27">
        <f t="shared" si="3"/>
        <v>0.63260000000000005</v>
      </c>
    </row>
    <row r="13" spans="1:15" x14ac:dyDescent="0.2">
      <c r="A13" s="1" t="s">
        <v>37</v>
      </c>
      <c r="B13" s="1">
        <v>5</v>
      </c>
      <c r="C13" s="27">
        <f t="shared" si="0"/>
        <v>1.4839</v>
      </c>
      <c r="E13" s="1" t="s">
        <v>37</v>
      </c>
      <c r="F13" s="1">
        <v>7</v>
      </c>
      <c r="G13" s="27">
        <f>N39</f>
        <v>1.2203999999999999</v>
      </c>
      <c r="I13" s="1" t="s">
        <v>37</v>
      </c>
      <c r="J13" s="1">
        <v>9</v>
      </c>
      <c r="K13" s="27">
        <f>N41</f>
        <v>1.1698999999999999</v>
      </c>
      <c r="M13" s="27">
        <f t="shared" si="1"/>
        <v>1.4839</v>
      </c>
      <c r="N13" s="27">
        <f t="shared" si="2"/>
        <v>1.2203999999999999</v>
      </c>
      <c r="O13" s="27">
        <f t="shared" si="3"/>
        <v>1.1698999999999999</v>
      </c>
    </row>
    <row r="14" spans="1:15" x14ac:dyDescent="0.2">
      <c r="A14" s="1" t="s">
        <v>37</v>
      </c>
      <c r="B14" s="1">
        <v>10</v>
      </c>
      <c r="C14" s="27">
        <f t="shared" si="0"/>
        <v>0.81379999999999997</v>
      </c>
      <c r="E14" s="1" t="s">
        <v>37</v>
      </c>
      <c r="F14" s="1">
        <v>12</v>
      </c>
      <c r="G14" s="27">
        <f>N44</f>
        <v>1.0248999999999999</v>
      </c>
      <c r="I14" s="1" t="s">
        <v>37</v>
      </c>
      <c r="J14" s="1">
        <v>14</v>
      </c>
      <c r="K14" s="27">
        <f>N46</f>
        <v>0.82030000000000003</v>
      </c>
      <c r="M14" s="27">
        <f t="shared" si="1"/>
        <v>0.81379999999999997</v>
      </c>
      <c r="N14" s="27">
        <f t="shared" si="2"/>
        <v>1.0248999999999999</v>
      </c>
      <c r="O14" s="27">
        <f t="shared" si="3"/>
        <v>0.82030000000000003</v>
      </c>
    </row>
    <row r="15" spans="1:15" x14ac:dyDescent="0.2">
      <c r="A15" s="1" t="s">
        <v>37</v>
      </c>
      <c r="B15" s="1">
        <v>11</v>
      </c>
      <c r="C15" s="27">
        <f t="shared" si="0"/>
        <v>1.3223</v>
      </c>
      <c r="E15" s="1" t="s">
        <v>37</v>
      </c>
      <c r="F15" s="1">
        <v>13</v>
      </c>
      <c r="G15" s="27">
        <f>N45</f>
        <v>0.92620000000000002</v>
      </c>
      <c r="I15" s="1" t="s">
        <v>37</v>
      </c>
      <c r="J15" s="1">
        <v>15</v>
      </c>
      <c r="K15" s="27">
        <f>N47</f>
        <v>1.1318999999999999</v>
      </c>
      <c r="M15" s="27">
        <f t="shared" si="1"/>
        <v>1.3223</v>
      </c>
      <c r="N15" s="27">
        <f t="shared" si="2"/>
        <v>0.92620000000000002</v>
      </c>
      <c r="O15" s="27">
        <f t="shared" si="3"/>
        <v>1.1318999999999999</v>
      </c>
    </row>
    <row r="16" spans="1:15" ht="41.25" x14ac:dyDescent="0.2">
      <c r="A16" s="1" t="s">
        <v>38</v>
      </c>
      <c r="B16" s="1" t="s">
        <v>45</v>
      </c>
      <c r="C16" s="27"/>
      <c r="G16" s="27"/>
      <c r="K16" s="27"/>
    </row>
    <row r="17" spans="1:2" x14ac:dyDescent="0.2">
      <c r="A17" s="1" t="s">
        <v>17</v>
      </c>
      <c r="B17" s="27">
        <f>AVERAGE(C4:C15)</f>
        <v>0.94594166666666668</v>
      </c>
    </row>
    <row r="18" spans="1:2" x14ac:dyDescent="0.2">
      <c r="A18" s="1" t="s">
        <v>18</v>
      </c>
      <c r="B18" s="27">
        <f>AVERAGE(G4:G15)</f>
        <v>1.1672</v>
      </c>
    </row>
    <row r="19" spans="1:2" x14ac:dyDescent="0.2">
      <c r="A19" s="1" t="s">
        <v>19</v>
      </c>
      <c r="B19" s="27">
        <f>AVERAGE(K4:K15)</f>
        <v>1.0811833333333334</v>
      </c>
    </row>
    <row r="21" spans="1:2" x14ac:dyDescent="0.2">
      <c r="B21" s="79"/>
    </row>
    <row r="31" spans="1:2" ht="40.5" customHeight="1" x14ac:dyDescent="0.2"/>
    <row r="34" spans="1:14" x14ac:dyDescent="0.2">
      <c r="A34" s="1" t="s">
        <v>35</v>
      </c>
      <c r="F34" s="1" t="s">
        <v>36</v>
      </c>
      <c r="K34" s="1" t="s">
        <v>37</v>
      </c>
    </row>
    <row r="35" spans="1:14" ht="41.25" x14ac:dyDescent="0.2">
      <c r="A35" s="1" t="s">
        <v>2</v>
      </c>
      <c r="B35" s="1" t="s">
        <v>3</v>
      </c>
      <c r="C35" s="1" t="s">
        <v>6</v>
      </c>
      <c r="D35" s="1" t="s">
        <v>10</v>
      </c>
      <c r="F35" s="1" t="s">
        <v>2</v>
      </c>
      <c r="G35" s="1" t="s">
        <v>3</v>
      </c>
      <c r="H35" s="1" t="s">
        <v>6</v>
      </c>
      <c r="I35" s="1" t="s">
        <v>10</v>
      </c>
      <c r="K35" s="1" t="s">
        <v>2</v>
      </c>
      <c r="L35" s="1" t="s">
        <v>3</v>
      </c>
      <c r="M35" s="1" t="s">
        <v>6</v>
      </c>
      <c r="N35" s="1" t="s">
        <v>10</v>
      </c>
    </row>
    <row r="36" spans="1:14" x14ac:dyDescent="0.2">
      <c r="A36" s="1">
        <v>4</v>
      </c>
      <c r="B36" s="1" t="s">
        <v>17</v>
      </c>
      <c r="C36" s="1">
        <v>19.2</v>
      </c>
      <c r="D36" s="1">
        <v>0.50519999999999998</v>
      </c>
      <c r="F36" s="1">
        <v>4</v>
      </c>
      <c r="G36" s="1" t="s">
        <v>17</v>
      </c>
      <c r="H36" s="1">
        <v>23</v>
      </c>
      <c r="I36" s="1">
        <v>1.1251</v>
      </c>
      <c r="K36" s="1">
        <v>4</v>
      </c>
      <c r="L36" s="1" t="s">
        <v>17</v>
      </c>
      <c r="M36" s="1">
        <v>24.4</v>
      </c>
      <c r="N36" s="1">
        <v>1.0670999999999999</v>
      </c>
    </row>
    <row r="37" spans="1:14" x14ac:dyDescent="0.2">
      <c r="A37" s="1">
        <v>5</v>
      </c>
      <c r="B37" s="1" t="s">
        <v>17</v>
      </c>
      <c r="C37" s="1">
        <v>26</v>
      </c>
      <c r="D37" s="1">
        <v>0.88429999999999997</v>
      </c>
      <c r="F37" s="1">
        <v>5</v>
      </c>
      <c r="G37" s="1" t="s">
        <v>17</v>
      </c>
      <c r="H37" s="1">
        <v>35.1</v>
      </c>
      <c r="I37" s="1">
        <v>1.7471000000000001</v>
      </c>
      <c r="K37" s="1">
        <v>5</v>
      </c>
      <c r="L37" s="1" t="s">
        <v>17</v>
      </c>
      <c r="M37" s="1">
        <v>35.5</v>
      </c>
      <c r="N37" s="1">
        <v>1.5927</v>
      </c>
    </row>
    <row r="38" spans="1:14" x14ac:dyDescent="0.2">
      <c r="A38" s="1">
        <v>6</v>
      </c>
      <c r="B38" s="1" t="s">
        <v>18</v>
      </c>
      <c r="C38" s="1">
        <v>19</v>
      </c>
      <c r="D38" s="1">
        <v>0.4627</v>
      </c>
      <c r="F38" s="1">
        <v>6</v>
      </c>
      <c r="G38" s="1" t="s">
        <v>18</v>
      </c>
      <c r="H38" s="1">
        <v>22.9</v>
      </c>
      <c r="I38" s="1">
        <v>1.1477999999999999</v>
      </c>
      <c r="K38" s="1">
        <v>6</v>
      </c>
      <c r="L38" s="1" t="s">
        <v>18</v>
      </c>
      <c r="M38" s="1">
        <v>22.5</v>
      </c>
      <c r="N38" s="1">
        <v>0.85489999999999999</v>
      </c>
    </row>
    <row r="39" spans="1:14" x14ac:dyDescent="0.2">
      <c r="A39" s="1">
        <v>7</v>
      </c>
      <c r="B39" s="1" t="s">
        <v>18</v>
      </c>
      <c r="C39" s="1">
        <v>26.1</v>
      </c>
      <c r="D39" s="1">
        <v>1.1915</v>
      </c>
      <c r="F39" s="1">
        <v>7</v>
      </c>
      <c r="G39" s="1" t="s">
        <v>18</v>
      </c>
      <c r="H39" s="1">
        <v>31.3</v>
      </c>
      <c r="I39" s="1">
        <v>1.7310000000000001</v>
      </c>
      <c r="K39" s="1">
        <v>7</v>
      </c>
      <c r="L39" s="1" t="s">
        <v>18</v>
      </c>
      <c r="M39" s="1">
        <v>30.8</v>
      </c>
      <c r="N39" s="1">
        <v>1.2203999999999999</v>
      </c>
    </row>
    <row r="40" spans="1:14" x14ac:dyDescent="0.2">
      <c r="A40" s="1">
        <v>8</v>
      </c>
      <c r="B40" s="1" t="s">
        <v>19</v>
      </c>
      <c r="C40" s="1">
        <v>19</v>
      </c>
      <c r="D40" s="1">
        <v>0.8357</v>
      </c>
      <c r="F40" s="1">
        <v>8</v>
      </c>
      <c r="G40" s="1" t="s">
        <v>19</v>
      </c>
      <c r="H40" s="1">
        <v>23</v>
      </c>
      <c r="I40" s="1">
        <v>1.2306999999999999</v>
      </c>
      <c r="K40" s="1">
        <v>8</v>
      </c>
      <c r="L40" s="1" t="s">
        <v>19</v>
      </c>
      <c r="M40" s="1">
        <v>22.6</v>
      </c>
      <c r="N40" s="1">
        <v>0.63260000000000005</v>
      </c>
    </row>
    <row r="41" spans="1:14" x14ac:dyDescent="0.2">
      <c r="A41" s="1">
        <v>9</v>
      </c>
      <c r="B41" s="1" t="s">
        <v>19</v>
      </c>
      <c r="C41" s="1">
        <v>25.6</v>
      </c>
      <c r="D41" s="1">
        <v>0.60750000000000004</v>
      </c>
      <c r="F41" s="1">
        <v>9</v>
      </c>
      <c r="G41" s="1" t="s">
        <v>19</v>
      </c>
      <c r="H41" s="1">
        <v>31</v>
      </c>
      <c r="I41" s="1">
        <v>1.5125999999999999</v>
      </c>
      <c r="K41" s="1">
        <v>9</v>
      </c>
      <c r="L41" s="1" t="s">
        <v>19</v>
      </c>
      <c r="M41" s="1">
        <v>30.5</v>
      </c>
      <c r="N41" s="1">
        <v>1.1698999999999999</v>
      </c>
    </row>
    <row r="42" spans="1:14" x14ac:dyDescent="0.2">
      <c r="A42" s="1">
        <v>10</v>
      </c>
      <c r="B42" s="1" t="s">
        <v>17</v>
      </c>
      <c r="C42" s="1">
        <v>24.5</v>
      </c>
      <c r="D42" s="1">
        <v>1.1189</v>
      </c>
      <c r="F42" s="1">
        <v>10</v>
      </c>
      <c r="G42" s="1" t="s">
        <v>17</v>
      </c>
      <c r="H42" s="1">
        <v>29.6</v>
      </c>
      <c r="I42" s="1">
        <v>1.7043999999999999</v>
      </c>
      <c r="K42" s="1">
        <v>10</v>
      </c>
      <c r="L42" s="1" t="s">
        <v>17</v>
      </c>
      <c r="M42" s="1">
        <v>29.2</v>
      </c>
      <c r="N42" s="1">
        <v>1.1033999999999999</v>
      </c>
    </row>
    <row r="43" spans="1:14" x14ac:dyDescent="0.2">
      <c r="A43" s="1">
        <v>11</v>
      </c>
      <c r="B43" s="1" t="s">
        <v>17</v>
      </c>
      <c r="C43" s="1">
        <v>30.8</v>
      </c>
      <c r="D43" s="1">
        <v>1.518</v>
      </c>
      <c r="F43" s="1">
        <v>11</v>
      </c>
      <c r="G43" s="1" t="s">
        <v>17</v>
      </c>
      <c r="H43" s="1">
        <v>36.9</v>
      </c>
      <c r="I43" s="1">
        <v>1.7942</v>
      </c>
      <c r="K43" s="1">
        <v>11</v>
      </c>
      <c r="L43" s="1" t="s">
        <v>17</v>
      </c>
      <c r="M43" s="1">
        <v>36.1</v>
      </c>
      <c r="N43" s="1">
        <v>1.4641999999999999</v>
      </c>
    </row>
    <row r="44" spans="1:14" x14ac:dyDescent="0.2">
      <c r="A44" s="1">
        <v>12</v>
      </c>
      <c r="B44" s="1" t="s">
        <v>18</v>
      </c>
      <c r="C44" s="1">
        <v>24.6</v>
      </c>
      <c r="D44" s="1">
        <v>0.60750000000000004</v>
      </c>
      <c r="F44" s="1">
        <v>12</v>
      </c>
      <c r="G44" s="1" t="s">
        <v>18</v>
      </c>
      <c r="H44" s="1">
        <v>29.5</v>
      </c>
      <c r="I44" s="1">
        <v>1.35</v>
      </c>
      <c r="K44" s="1">
        <v>12</v>
      </c>
      <c r="L44" s="1" t="s">
        <v>18</v>
      </c>
      <c r="M44" s="1">
        <v>28.9</v>
      </c>
      <c r="N44" s="1">
        <v>1.0248999999999999</v>
      </c>
    </row>
    <row r="45" spans="1:14" x14ac:dyDescent="0.2">
      <c r="A45" s="1">
        <v>13</v>
      </c>
      <c r="B45" s="1" t="s">
        <v>18</v>
      </c>
      <c r="C45" s="1">
        <v>30.8</v>
      </c>
      <c r="D45" s="1">
        <v>1.4839</v>
      </c>
      <c r="F45" s="1">
        <v>13</v>
      </c>
      <c r="G45" s="1" t="s">
        <v>18</v>
      </c>
      <c r="H45" s="1">
        <v>36.9</v>
      </c>
      <c r="I45" s="1">
        <v>2.0055999999999998</v>
      </c>
      <c r="K45" s="1">
        <v>13</v>
      </c>
      <c r="L45" s="1" t="s">
        <v>18</v>
      </c>
      <c r="M45" s="1">
        <v>36.200000000000003</v>
      </c>
      <c r="N45" s="1">
        <v>0.92620000000000002</v>
      </c>
    </row>
    <row r="46" spans="1:14" x14ac:dyDescent="0.2">
      <c r="A46" s="1">
        <v>14</v>
      </c>
      <c r="B46" s="1" t="s">
        <v>19</v>
      </c>
      <c r="C46" s="1">
        <v>24.6</v>
      </c>
      <c r="D46" s="1">
        <v>0.81379999999999997</v>
      </c>
      <c r="F46" s="1">
        <v>14</v>
      </c>
      <c r="G46" s="1" t="s">
        <v>19</v>
      </c>
      <c r="H46" s="1">
        <v>29.8</v>
      </c>
      <c r="I46" s="1">
        <v>1.4959</v>
      </c>
      <c r="K46" s="1">
        <v>14</v>
      </c>
      <c r="L46" s="1" t="s">
        <v>19</v>
      </c>
      <c r="M46" s="1">
        <v>29.2</v>
      </c>
      <c r="N46" s="1">
        <v>0.82030000000000003</v>
      </c>
    </row>
    <row r="47" spans="1:14" x14ac:dyDescent="0.2">
      <c r="A47" s="1">
        <v>15</v>
      </c>
      <c r="B47" s="1" t="s">
        <v>19</v>
      </c>
      <c r="C47" s="1">
        <v>30.4</v>
      </c>
      <c r="D47" s="1">
        <v>1.3223</v>
      </c>
      <c r="F47" s="1">
        <v>15</v>
      </c>
      <c r="G47" s="1" t="s">
        <v>19</v>
      </c>
      <c r="H47" s="1">
        <v>36.799999999999997</v>
      </c>
      <c r="I47" s="1">
        <v>1.401</v>
      </c>
      <c r="K47" s="1">
        <v>15</v>
      </c>
      <c r="L47" s="1" t="s">
        <v>19</v>
      </c>
      <c r="M47" s="1">
        <v>35.9</v>
      </c>
      <c r="N47" s="1">
        <v>1.1318999999999999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44D5-321B-47A3-BB0D-7432B8A07E09}">
  <dimension ref="A2:R59"/>
  <sheetViews>
    <sheetView topLeftCell="A5"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6.1875" style="1" bestFit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23">
        <v>0</v>
      </c>
      <c r="B2" s="104"/>
      <c r="C2" s="104"/>
      <c r="E2" s="123">
        <v>0.1</v>
      </c>
      <c r="F2" s="104"/>
      <c r="G2" s="104"/>
      <c r="I2" s="123">
        <v>0.25</v>
      </c>
      <c r="J2" s="104"/>
      <c r="K2" s="104"/>
      <c r="M2" s="104"/>
      <c r="N2" s="104"/>
      <c r="O2" s="104"/>
    </row>
    <row r="3" spans="1:15" ht="27.75" x14ac:dyDescent="0.2">
      <c r="A3" s="1" t="s">
        <v>33</v>
      </c>
      <c r="B3" s="1" t="s">
        <v>34</v>
      </c>
      <c r="C3" s="1" t="s">
        <v>7</v>
      </c>
      <c r="E3" s="1" t="s">
        <v>33</v>
      </c>
      <c r="F3" s="1" t="s">
        <v>34</v>
      </c>
      <c r="G3" s="1" t="s">
        <v>7</v>
      </c>
      <c r="I3" s="1" t="s">
        <v>33</v>
      </c>
      <c r="J3" s="1" t="s">
        <v>34</v>
      </c>
      <c r="K3" s="1" t="s">
        <v>7</v>
      </c>
      <c r="M3" s="80"/>
      <c r="N3" s="80"/>
      <c r="O3" s="80"/>
    </row>
    <row r="4" spans="1:15" x14ac:dyDescent="0.2">
      <c r="A4" s="1" t="s">
        <v>35</v>
      </c>
      <c r="B4" s="1">
        <v>2</v>
      </c>
      <c r="C4" s="27">
        <f>D43</f>
        <v>1.6811</v>
      </c>
      <c r="E4" s="1" t="s">
        <v>35</v>
      </c>
      <c r="F4" s="1">
        <v>4</v>
      </c>
      <c r="G4" s="27">
        <f>D45</f>
        <v>1.335</v>
      </c>
      <c r="I4" s="1" t="s">
        <v>35</v>
      </c>
      <c r="J4" s="1">
        <v>5</v>
      </c>
      <c r="K4" s="27">
        <f>D46</f>
        <v>1.4450000000000001</v>
      </c>
    </row>
    <row r="5" spans="1:15" x14ac:dyDescent="0.2">
      <c r="A5" s="1" t="s">
        <v>35</v>
      </c>
      <c r="B5" s="1">
        <v>3</v>
      </c>
      <c r="C5" s="27">
        <f>D44</f>
        <v>2.8111999999999999</v>
      </c>
      <c r="E5" s="1" t="s">
        <v>35</v>
      </c>
      <c r="F5" s="1">
        <v>6</v>
      </c>
      <c r="G5" s="27">
        <f>D47</f>
        <v>1.4693000000000001</v>
      </c>
      <c r="I5" s="1" t="s">
        <v>35</v>
      </c>
      <c r="J5" s="1">
        <v>7</v>
      </c>
      <c r="K5" s="27">
        <f>D48</f>
        <v>1.8183</v>
      </c>
    </row>
    <row r="6" spans="1:15" x14ac:dyDescent="0.2">
      <c r="A6" s="1" t="s">
        <v>36</v>
      </c>
      <c r="B6" s="1">
        <v>2</v>
      </c>
      <c r="C6" s="27">
        <f>I43</f>
        <v>1.6182000000000001</v>
      </c>
      <c r="E6" s="1" t="s">
        <v>35</v>
      </c>
      <c r="F6" s="1">
        <v>8</v>
      </c>
      <c r="G6" s="27">
        <f>D49</f>
        <v>1.4342999999999999</v>
      </c>
      <c r="I6" s="1" t="s">
        <v>35</v>
      </c>
      <c r="J6" s="1">
        <v>9</v>
      </c>
      <c r="K6" s="27">
        <f>D50</f>
        <v>1.5629</v>
      </c>
    </row>
    <row r="7" spans="1:15" x14ac:dyDescent="0.2">
      <c r="A7" s="1" t="s">
        <v>36</v>
      </c>
      <c r="B7" s="1">
        <v>3</v>
      </c>
      <c r="C7" s="27">
        <f>I44</f>
        <v>2.4346999999999999</v>
      </c>
      <c r="E7" s="1" t="s">
        <v>35</v>
      </c>
      <c r="F7" s="1">
        <v>10</v>
      </c>
      <c r="G7" s="27">
        <f>D51</f>
        <v>1.8508</v>
      </c>
      <c r="I7" s="1" t="s">
        <v>35</v>
      </c>
      <c r="J7" s="1">
        <v>11</v>
      </c>
      <c r="K7" s="27">
        <f>D52</f>
        <v>2.1374</v>
      </c>
    </row>
    <row r="8" spans="1:15" x14ac:dyDescent="0.2">
      <c r="A8" s="1" t="s">
        <v>37</v>
      </c>
      <c r="B8" s="1">
        <v>2</v>
      </c>
      <c r="C8" s="27">
        <f>N43</f>
        <v>1.5726</v>
      </c>
      <c r="E8" s="1" t="s">
        <v>35</v>
      </c>
      <c r="F8" s="1">
        <v>12</v>
      </c>
      <c r="G8" s="27">
        <f>D53</f>
        <v>2.0701999999999998</v>
      </c>
      <c r="I8" s="1" t="s">
        <v>35</v>
      </c>
      <c r="J8" s="1">
        <v>13</v>
      </c>
      <c r="K8" s="27">
        <f>D54</f>
        <v>2.3704999999999998</v>
      </c>
    </row>
    <row r="9" spans="1:15" x14ac:dyDescent="0.2">
      <c r="A9" s="1" t="s">
        <v>37</v>
      </c>
      <c r="B9" s="1">
        <v>3</v>
      </c>
      <c r="C9" s="27">
        <f>N44</f>
        <v>2.6493000000000002</v>
      </c>
      <c r="E9" s="1" t="s">
        <v>35</v>
      </c>
      <c r="F9" s="1">
        <v>14</v>
      </c>
      <c r="G9" s="27">
        <f>D55</f>
        <v>1.8688</v>
      </c>
      <c r="I9" s="1" t="s">
        <v>35</v>
      </c>
      <c r="J9" s="1">
        <v>15</v>
      </c>
      <c r="K9" s="27">
        <f>D56</f>
        <v>2.1360999999999999</v>
      </c>
    </row>
    <row r="10" spans="1:15" x14ac:dyDescent="0.2">
      <c r="C10" s="27"/>
      <c r="E10" s="1" t="s">
        <v>36</v>
      </c>
      <c r="F10" s="1">
        <v>4</v>
      </c>
      <c r="G10" s="27">
        <f>I45</f>
        <v>1.7476</v>
      </c>
      <c r="I10" s="1" t="s">
        <v>36</v>
      </c>
      <c r="J10" s="1">
        <v>5</v>
      </c>
      <c r="K10" s="27">
        <f>I46</f>
        <v>2.4641999999999999</v>
      </c>
    </row>
    <row r="11" spans="1:15" x14ac:dyDescent="0.2">
      <c r="C11" s="27"/>
      <c r="E11" s="1" t="s">
        <v>36</v>
      </c>
      <c r="F11" s="1">
        <v>6</v>
      </c>
      <c r="G11" s="27">
        <f>I47</f>
        <v>2.1301999999999999</v>
      </c>
      <c r="I11" s="1" t="s">
        <v>36</v>
      </c>
      <c r="J11" s="1">
        <v>7</v>
      </c>
      <c r="K11" s="27">
        <f>I48</f>
        <v>2.6031</v>
      </c>
    </row>
    <row r="12" spans="1:15" x14ac:dyDescent="0.2">
      <c r="C12" s="27"/>
      <c r="E12" s="1" t="s">
        <v>36</v>
      </c>
      <c r="F12" s="1">
        <v>8</v>
      </c>
      <c r="G12" s="27">
        <f>I49</f>
        <v>2.0438000000000001</v>
      </c>
      <c r="I12" s="1" t="s">
        <v>36</v>
      </c>
      <c r="J12" s="1">
        <v>9</v>
      </c>
      <c r="K12" s="27">
        <f>I50</f>
        <v>2.3403999999999998</v>
      </c>
    </row>
    <row r="13" spans="1:15" x14ac:dyDescent="0.2">
      <c r="C13" s="27"/>
      <c r="E13" s="1" t="s">
        <v>36</v>
      </c>
      <c r="F13" s="1">
        <v>10</v>
      </c>
      <c r="G13" s="27">
        <f>I51</f>
        <v>2.8334000000000001</v>
      </c>
      <c r="I13" s="1" t="s">
        <v>36</v>
      </c>
      <c r="J13" s="1">
        <v>11</v>
      </c>
      <c r="K13" s="27">
        <f>I52</f>
        <v>2.8868</v>
      </c>
    </row>
    <row r="14" spans="1:15" x14ac:dyDescent="0.2">
      <c r="C14" s="27"/>
      <c r="E14" s="1" t="s">
        <v>36</v>
      </c>
      <c r="F14" s="1">
        <v>12</v>
      </c>
      <c r="G14" s="27">
        <f>I53</f>
        <v>2.8893</v>
      </c>
      <c r="I14" s="1" t="s">
        <v>36</v>
      </c>
      <c r="J14" s="1">
        <v>13</v>
      </c>
      <c r="K14" s="27">
        <f>I54</f>
        <v>3.2658</v>
      </c>
    </row>
    <row r="15" spans="1:15" x14ac:dyDescent="0.2">
      <c r="C15" s="27"/>
      <c r="E15" s="1" t="s">
        <v>36</v>
      </c>
      <c r="F15" s="1">
        <v>14</v>
      </c>
      <c r="G15" s="27">
        <f>I55</f>
        <v>2.6368</v>
      </c>
      <c r="I15" s="1" t="s">
        <v>36</v>
      </c>
      <c r="J15" s="1">
        <v>15</v>
      </c>
      <c r="K15" s="27">
        <f>I56</f>
        <v>3.1633</v>
      </c>
    </row>
    <row r="16" spans="1:15" x14ac:dyDescent="0.2">
      <c r="C16" s="27"/>
      <c r="E16" s="1" t="s">
        <v>37</v>
      </c>
      <c r="F16" s="1">
        <v>4</v>
      </c>
      <c r="G16" s="27">
        <f>N45</f>
        <v>2.0192000000000001</v>
      </c>
      <c r="I16" s="1" t="s">
        <v>37</v>
      </c>
      <c r="J16" s="1">
        <v>5</v>
      </c>
      <c r="K16" s="27">
        <f>N46</f>
        <v>2.2999999999999998</v>
      </c>
    </row>
    <row r="17" spans="1:11" x14ac:dyDescent="0.2">
      <c r="C17" s="27"/>
      <c r="E17" s="1" t="s">
        <v>37</v>
      </c>
      <c r="F17" s="1">
        <v>6</v>
      </c>
      <c r="G17" s="27">
        <f>N47</f>
        <v>1.7901</v>
      </c>
      <c r="I17" s="1" t="s">
        <v>37</v>
      </c>
      <c r="J17" s="1">
        <v>7</v>
      </c>
      <c r="K17" s="27">
        <f>N48</f>
        <v>2.2187999999999999</v>
      </c>
    </row>
    <row r="18" spans="1:11" x14ac:dyDescent="0.2">
      <c r="C18" s="27"/>
      <c r="E18" s="1" t="s">
        <v>37</v>
      </c>
      <c r="F18" s="1">
        <v>8</v>
      </c>
      <c r="G18" s="27">
        <f>N49</f>
        <v>1.7519</v>
      </c>
      <c r="I18" s="1" t="s">
        <v>37</v>
      </c>
      <c r="J18" s="1">
        <v>9</v>
      </c>
      <c r="K18" s="27">
        <f>N50</f>
        <v>2.1164000000000001</v>
      </c>
    </row>
    <row r="19" spans="1:11" x14ac:dyDescent="0.2">
      <c r="C19" s="27"/>
      <c r="E19" s="1" t="s">
        <v>37</v>
      </c>
      <c r="F19" s="1">
        <v>10</v>
      </c>
      <c r="G19" s="27">
        <f>N51</f>
        <v>2.3268</v>
      </c>
      <c r="I19" s="1" t="s">
        <v>37</v>
      </c>
      <c r="J19" s="1">
        <v>11</v>
      </c>
      <c r="K19" s="27">
        <f>N52</f>
        <v>2.5102000000000002</v>
      </c>
    </row>
    <row r="20" spans="1:11" x14ac:dyDescent="0.2">
      <c r="C20" s="27"/>
      <c r="E20" s="1" t="s">
        <v>37</v>
      </c>
      <c r="F20" s="1">
        <v>12</v>
      </c>
      <c r="G20" s="27">
        <f>N53</f>
        <v>2.5668000000000002</v>
      </c>
      <c r="I20" s="1" t="s">
        <v>37</v>
      </c>
      <c r="J20" s="1">
        <v>13</v>
      </c>
      <c r="K20" s="27">
        <f>N54</f>
        <v>2.9683999999999999</v>
      </c>
    </row>
    <row r="21" spans="1:11" x14ac:dyDescent="0.2">
      <c r="C21" s="27"/>
      <c r="E21" s="1" t="s">
        <v>37</v>
      </c>
      <c r="F21" s="1">
        <v>14</v>
      </c>
      <c r="G21" s="27">
        <f>N55</f>
        <v>2.4034</v>
      </c>
      <c r="I21" s="1" t="s">
        <v>37</v>
      </c>
      <c r="J21" s="1">
        <v>15</v>
      </c>
      <c r="K21" s="27">
        <f>N56</f>
        <v>2.6421999999999999</v>
      </c>
    </row>
    <row r="22" spans="1:11" ht="41.25" x14ac:dyDescent="0.2">
      <c r="A22" s="1" t="s">
        <v>38</v>
      </c>
      <c r="B22" s="1" t="s">
        <v>39</v>
      </c>
      <c r="C22" s="27"/>
      <c r="G22" s="27"/>
      <c r="K22" s="27"/>
    </row>
    <row r="23" spans="1:11" x14ac:dyDescent="0.2">
      <c r="A23" s="80">
        <v>0</v>
      </c>
      <c r="B23" s="27">
        <f>AVERAGE(C4:C21)</f>
        <v>2.12785</v>
      </c>
    </row>
    <row r="24" spans="1:11" x14ac:dyDescent="0.2">
      <c r="A24" s="80">
        <v>0.1</v>
      </c>
      <c r="B24" s="27">
        <f>AVERAGE(G4:G21)</f>
        <v>2.0648722222222222</v>
      </c>
    </row>
    <row r="25" spans="1:11" x14ac:dyDescent="0.2">
      <c r="A25" s="80">
        <v>0.25</v>
      </c>
      <c r="B25" s="27">
        <f>AVERAGE(K4:K21)</f>
        <v>2.3860999999999999</v>
      </c>
    </row>
    <row r="27" spans="1:11" ht="27.75" x14ac:dyDescent="0.2">
      <c r="A27" s="1" t="s">
        <v>40</v>
      </c>
      <c r="B27" s="79">
        <f>(1-B23/B24)</f>
        <v>-3.0499600459538811E-2</v>
      </c>
    </row>
    <row r="40" spans="1:18" x14ac:dyDescent="0.2">
      <c r="A40" s="1" t="s">
        <v>35</v>
      </c>
      <c r="F40" s="1" t="s">
        <v>36</v>
      </c>
      <c r="K40" s="1" t="s">
        <v>37</v>
      </c>
    </row>
    <row r="41" spans="1:18" ht="54.75" x14ac:dyDescent="0.2">
      <c r="A41" s="1" t="s">
        <v>2</v>
      </c>
      <c r="B41" s="1" t="s">
        <v>4</v>
      </c>
      <c r="C41" s="1" t="s">
        <v>6</v>
      </c>
      <c r="D41" s="1" t="s">
        <v>7</v>
      </c>
      <c r="F41" s="1" t="s">
        <v>2</v>
      </c>
      <c r="G41" s="1" t="s">
        <v>4</v>
      </c>
      <c r="H41" s="1" t="s">
        <v>6</v>
      </c>
      <c r="I41" s="1" t="s">
        <v>7</v>
      </c>
      <c r="K41" s="1" t="s">
        <v>2</v>
      </c>
      <c r="L41" s="1" t="s">
        <v>4</v>
      </c>
      <c r="M41" s="1" t="s">
        <v>6</v>
      </c>
      <c r="N41" s="1" t="s">
        <v>7</v>
      </c>
      <c r="P41" s="80">
        <v>0</v>
      </c>
      <c r="Q41" s="80">
        <v>0.1</v>
      </c>
      <c r="R41" s="80">
        <v>0.25</v>
      </c>
    </row>
    <row r="42" spans="1:18" x14ac:dyDescent="0.2">
      <c r="A42" s="1">
        <v>1</v>
      </c>
      <c r="B42" s="1">
        <v>1</v>
      </c>
      <c r="C42" s="1">
        <v>61.3</v>
      </c>
      <c r="D42" s="1">
        <v>6.6299000000000001</v>
      </c>
      <c r="F42" s="1">
        <v>1</v>
      </c>
      <c r="G42" s="1">
        <v>1</v>
      </c>
      <c r="H42" s="1">
        <v>73</v>
      </c>
      <c r="I42" s="1">
        <v>9.3462999999999994</v>
      </c>
      <c r="K42" s="1">
        <v>1</v>
      </c>
      <c r="L42" s="1">
        <v>1</v>
      </c>
      <c r="M42" s="1">
        <v>74.599999999999994</v>
      </c>
      <c r="N42" s="1">
        <v>9.6692999999999998</v>
      </c>
      <c r="P42" s="27">
        <v>1.6811</v>
      </c>
      <c r="Q42" s="27">
        <v>1.335</v>
      </c>
      <c r="R42" s="27">
        <v>1.4450000000000001</v>
      </c>
    </row>
    <row r="43" spans="1:18" x14ac:dyDescent="0.2">
      <c r="A43" s="1">
        <v>2</v>
      </c>
      <c r="B43" s="1">
        <v>0</v>
      </c>
      <c r="C43" s="1">
        <v>20</v>
      </c>
      <c r="D43" s="1">
        <v>1.6811</v>
      </c>
      <c r="F43" s="1">
        <v>2</v>
      </c>
      <c r="G43" s="1">
        <v>0</v>
      </c>
      <c r="H43" s="1">
        <v>16.7</v>
      </c>
      <c r="I43" s="1">
        <v>1.6182000000000001</v>
      </c>
      <c r="K43" s="1">
        <v>2</v>
      </c>
      <c r="L43" s="1">
        <v>0</v>
      </c>
      <c r="M43" s="1">
        <v>18</v>
      </c>
      <c r="N43" s="1">
        <v>1.5726</v>
      </c>
      <c r="P43" s="27">
        <v>2.8111999999999999</v>
      </c>
      <c r="Q43" s="27">
        <v>1.4693000000000001</v>
      </c>
      <c r="R43" s="27">
        <v>1.8183</v>
      </c>
    </row>
    <row r="44" spans="1:18" x14ac:dyDescent="0.2">
      <c r="A44" s="1">
        <v>3</v>
      </c>
      <c r="B44" s="1">
        <v>0</v>
      </c>
      <c r="C44" s="1">
        <v>25.5</v>
      </c>
      <c r="D44" s="1">
        <v>2.8111999999999999</v>
      </c>
      <c r="F44" s="1">
        <v>3</v>
      </c>
      <c r="G44" s="1">
        <v>0</v>
      </c>
      <c r="H44" s="1">
        <v>24.1</v>
      </c>
      <c r="I44" s="1">
        <v>2.4346999999999999</v>
      </c>
      <c r="K44" s="1">
        <v>3</v>
      </c>
      <c r="L44" s="1">
        <v>0</v>
      </c>
      <c r="M44" s="1">
        <v>26.7</v>
      </c>
      <c r="N44" s="1">
        <v>2.6493000000000002</v>
      </c>
      <c r="P44" s="27">
        <v>1.6182000000000001</v>
      </c>
      <c r="Q44" s="27">
        <v>1.4342999999999999</v>
      </c>
      <c r="R44" s="27">
        <v>1.5629</v>
      </c>
    </row>
    <row r="45" spans="1:18" x14ac:dyDescent="0.2">
      <c r="A45" s="1">
        <v>4</v>
      </c>
      <c r="B45" s="1">
        <v>0.1</v>
      </c>
      <c r="C45" s="1">
        <v>19.2</v>
      </c>
      <c r="D45" s="1">
        <v>1.335</v>
      </c>
      <c r="F45" s="1">
        <v>4</v>
      </c>
      <c r="G45" s="1">
        <v>0.1</v>
      </c>
      <c r="H45" s="1">
        <v>23</v>
      </c>
      <c r="I45" s="1">
        <v>1.7476</v>
      </c>
      <c r="K45" s="1">
        <v>4</v>
      </c>
      <c r="L45" s="1">
        <v>0.1</v>
      </c>
      <c r="M45" s="1">
        <v>24.4</v>
      </c>
      <c r="N45" s="1">
        <v>2.0192000000000001</v>
      </c>
      <c r="P45" s="27">
        <v>2.4346999999999999</v>
      </c>
      <c r="Q45" s="27">
        <v>1.8508</v>
      </c>
      <c r="R45" s="27">
        <v>2.1374</v>
      </c>
    </row>
    <row r="46" spans="1:18" x14ac:dyDescent="0.2">
      <c r="A46" s="1">
        <v>5</v>
      </c>
      <c r="B46" s="1">
        <v>0.25</v>
      </c>
      <c r="C46" s="1">
        <v>26</v>
      </c>
      <c r="D46" s="1">
        <v>1.4450000000000001</v>
      </c>
      <c r="F46" s="1">
        <v>5</v>
      </c>
      <c r="G46" s="1">
        <v>0.25</v>
      </c>
      <c r="H46" s="1">
        <v>35.1</v>
      </c>
      <c r="I46" s="1">
        <v>2.4641999999999999</v>
      </c>
      <c r="K46" s="1">
        <v>5</v>
      </c>
      <c r="L46" s="1">
        <v>0.25</v>
      </c>
      <c r="M46" s="1">
        <v>35.5</v>
      </c>
      <c r="N46" s="1">
        <v>2.2999999999999998</v>
      </c>
      <c r="P46" s="27">
        <v>1.5726</v>
      </c>
      <c r="Q46" s="27">
        <v>2.0701999999999998</v>
      </c>
      <c r="R46" s="27">
        <v>2.3704999999999998</v>
      </c>
    </row>
    <row r="47" spans="1:18" x14ac:dyDescent="0.2">
      <c r="A47" s="1">
        <v>6</v>
      </c>
      <c r="B47" s="1">
        <v>0.1</v>
      </c>
      <c r="C47" s="1">
        <v>19</v>
      </c>
      <c r="D47" s="1">
        <v>1.4693000000000001</v>
      </c>
      <c r="F47" s="1">
        <v>6</v>
      </c>
      <c r="G47" s="1">
        <v>0.1</v>
      </c>
      <c r="H47" s="1">
        <v>22.9</v>
      </c>
      <c r="I47" s="1">
        <v>2.1301999999999999</v>
      </c>
      <c r="K47" s="1">
        <v>6</v>
      </c>
      <c r="L47" s="1">
        <v>0.1</v>
      </c>
      <c r="M47" s="1">
        <v>22.5</v>
      </c>
      <c r="N47" s="1">
        <v>1.7901</v>
      </c>
      <c r="P47" s="27">
        <v>2.6493000000000002</v>
      </c>
      <c r="Q47" s="27">
        <v>1.8688</v>
      </c>
      <c r="R47" s="27">
        <v>2.1360999999999999</v>
      </c>
    </row>
    <row r="48" spans="1:18" x14ac:dyDescent="0.2">
      <c r="A48" s="1">
        <v>7</v>
      </c>
      <c r="B48" s="1">
        <v>0.25</v>
      </c>
      <c r="C48" s="1">
        <v>26.1</v>
      </c>
      <c r="D48" s="1">
        <v>1.8183</v>
      </c>
      <c r="F48" s="1">
        <v>7</v>
      </c>
      <c r="G48" s="1">
        <v>0.25</v>
      </c>
      <c r="H48" s="1">
        <v>31.3</v>
      </c>
      <c r="I48" s="1">
        <v>2.6031</v>
      </c>
      <c r="K48" s="1">
        <v>7</v>
      </c>
      <c r="L48" s="1">
        <v>0.25</v>
      </c>
      <c r="M48" s="1">
        <v>30.8</v>
      </c>
      <c r="N48" s="1">
        <v>2.2187999999999999</v>
      </c>
      <c r="P48" s="27"/>
      <c r="Q48" s="27">
        <v>1.7476</v>
      </c>
      <c r="R48" s="27">
        <v>2.4641999999999999</v>
      </c>
    </row>
    <row r="49" spans="1:18" x14ac:dyDescent="0.2">
      <c r="A49" s="1">
        <v>8</v>
      </c>
      <c r="B49" s="1">
        <v>0.1</v>
      </c>
      <c r="C49" s="1">
        <v>19</v>
      </c>
      <c r="D49" s="1">
        <v>1.4342999999999999</v>
      </c>
      <c r="F49" s="1">
        <v>8</v>
      </c>
      <c r="G49" s="1">
        <v>0.1</v>
      </c>
      <c r="H49" s="1">
        <v>23</v>
      </c>
      <c r="I49" s="1">
        <v>2.0438000000000001</v>
      </c>
      <c r="K49" s="1">
        <v>8</v>
      </c>
      <c r="L49" s="1">
        <v>0.1</v>
      </c>
      <c r="M49" s="1">
        <v>22.6</v>
      </c>
      <c r="N49" s="1">
        <v>1.7519</v>
      </c>
      <c r="P49" s="27"/>
      <c r="Q49" s="27">
        <v>2.1301999999999999</v>
      </c>
      <c r="R49" s="27">
        <v>2.6031</v>
      </c>
    </row>
    <row r="50" spans="1:18" x14ac:dyDescent="0.2">
      <c r="A50" s="1">
        <v>9</v>
      </c>
      <c r="B50" s="1">
        <v>0.25</v>
      </c>
      <c r="C50" s="1">
        <v>25.6</v>
      </c>
      <c r="D50" s="1">
        <v>1.5629</v>
      </c>
      <c r="F50" s="1">
        <v>9</v>
      </c>
      <c r="G50" s="1">
        <v>0.25</v>
      </c>
      <c r="H50" s="1">
        <v>31</v>
      </c>
      <c r="I50" s="1">
        <v>2.3403999999999998</v>
      </c>
      <c r="K50" s="1">
        <v>9</v>
      </c>
      <c r="L50" s="1">
        <v>0.25</v>
      </c>
      <c r="M50" s="1">
        <v>30.5</v>
      </c>
      <c r="N50" s="1">
        <v>2.1164000000000001</v>
      </c>
      <c r="P50" s="27"/>
      <c r="Q50" s="27">
        <v>2.0438000000000001</v>
      </c>
      <c r="R50" s="27">
        <v>2.3403999999999998</v>
      </c>
    </row>
    <row r="51" spans="1:18" x14ac:dyDescent="0.2">
      <c r="A51" s="1">
        <v>10</v>
      </c>
      <c r="B51" s="1">
        <v>0.1</v>
      </c>
      <c r="C51" s="1">
        <v>24.5</v>
      </c>
      <c r="D51" s="1">
        <v>1.8508</v>
      </c>
      <c r="F51" s="1">
        <v>10</v>
      </c>
      <c r="G51" s="1">
        <v>0.1</v>
      </c>
      <c r="H51" s="1">
        <v>29.6</v>
      </c>
      <c r="I51" s="1">
        <v>2.8334000000000001</v>
      </c>
      <c r="K51" s="1">
        <v>10</v>
      </c>
      <c r="L51" s="1">
        <v>0.1</v>
      </c>
      <c r="M51" s="1">
        <v>29.2</v>
      </c>
      <c r="N51" s="1">
        <v>2.3268</v>
      </c>
      <c r="P51" s="27"/>
      <c r="Q51" s="27">
        <v>2.8334000000000001</v>
      </c>
      <c r="R51" s="27">
        <v>2.8868</v>
      </c>
    </row>
    <row r="52" spans="1:18" x14ac:dyDescent="0.2">
      <c r="A52" s="1">
        <v>11</v>
      </c>
      <c r="B52" s="1">
        <v>0.25</v>
      </c>
      <c r="C52" s="1">
        <v>30.8</v>
      </c>
      <c r="D52" s="1">
        <v>2.1374</v>
      </c>
      <c r="F52" s="1">
        <v>11</v>
      </c>
      <c r="G52" s="1">
        <v>0.25</v>
      </c>
      <c r="H52" s="1">
        <v>36.9</v>
      </c>
      <c r="I52" s="1">
        <v>2.8868</v>
      </c>
      <c r="K52" s="1">
        <v>11</v>
      </c>
      <c r="L52" s="1">
        <v>0.25</v>
      </c>
      <c r="M52" s="1">
        <v>36.1</v>
      </c>
      <c r="N52" s="1">
        <v>2.5102000000000002</v>
      </c>
      <c r="P52" s="27"/>
      <c r="Q52" s="27">
        <v>2.8893</v>
      </c>
      <c r="R52" s="27">
        <v>3.2658</v>
      </c>
    </row>
    <row r="53" spans="1:18" x14ac:dyDescent="0.2">
      <c r="A53" s="1">
        <v>12</v>
      </c>
      <c r="B53" s="1">
        <v>0.1</v>
      </c>
      <c r="C53" s="1">
        <v>24.6</v>
      </c>
      <c r="D53" s="1">
        <v>2.0701999999999998</v>
      </c>
      <c r="F53" s="1">
        <v>12</v>
      </c>
      <c r="G53" s="1">
        <v>0.1</v>
      </c>
      <c r="H53" s="1">
        <v>29.5</v>
      </c>
      <c r="I53" s="1">
        <v>2.8893</v>
      </c>
      <c r="K53" s="1">
        <v>12</v>
      </c>
      <c r="L53" s="1">
        <v>0.1</v>
      </c>
      <c r="M53" s="1">
        <v>28.9</v>
      </c>
      <c r="N53" s="1">
        <v>2.5668000000000002</v>
      </c>
      <c r="P53" s="27"/>
      <c r="Q53" s="27">
        <v>2.6368</v>
      </c>
      <c r="R53" s="27">
        <v>3.1633</v>
      </c>
    </row>
    <row r="54" spans="1:18" x14ac:dyDescent="0.2">
      <c r="A54" s="1">
        <v>13</v>
      </c>
      <c r="B54" s="1">
        <v>0.25</v>
      </c>
      <c r="C54" s="1">
        <v>30.8</v>
      </c>
      <c r="D54" s="1">
        <v>2.3704999999999998</v>
      </c>
      <c r="F54" s="1">
        <v>13</v>
      </c>
      <c r="G54" s="1">
        <v>0.25</v>
      </c>
      <c r="H54" s="1">
        <v>36.9</v>
      </c>
      <c r="I54" s="1">
        <v>3.2658</v>
      </c>
      <c r="K54" s="1">
        <v>13</v>
      </c>
      <c r="L54" s="1">
        <v>0.25</v>
      </c>
      <c r="M54" s="1">
        <v>36.200000000000003</v>
      </c>
      <c r="N54" s="1">
        <v>2.9683999999999999</v>
      </c>
      <c r="P54" s="27"/>
      <c r="Q54" s="27">
        <v>2.0192000000000001</v>
      </c>
      <c r="R54" s="27">
        <v>2.2999999999999998</v>
      </c>
    </row>
    <row r="55" spans="1:18" x14ac:dyDescent="0.2">
      <c r="A55" s="1">
        <v>14</v>
      </c>
      <c r="B55" s="1">
        <v>0.1</v>
      </c>
      <c r="C55" s="1">
        <v>24.6</v>
      </c>
      <c r="D55" s="1">
        <v>1.8688</v>
      </c>
      <c r="F55" s="1">
        <v>14</v>
      </c>
      <c r="G55" s="1">
        <v>0.1</v>
      </c>
      <c r="H55" s="1">
        <v>29.8</v>
      </c>
      <c r="I55" s="1">
        <v>2.6368</v>
      </c>
      <c r="K55" s="1">
        <v>14</v>
      </c>
      <c r="L55" s="1">
        <v>0.1</v>
      </c>
      <c r="M55" s="1">
        <v>29.2</v>
      </c>
      <c r="N55" s="1">
        <v>2.4034</v>
      </c>
      <c r="P55" s="27"/>
      <c r="Q55" s="27">
        <v>1.7901</v>
      </c>
      <c r="R55" s="27">
        <v>2.2187999999999999</v>
      </c>
    </row>
    <row r="56" spans="1:18" x14ac:dyDescent="0.2">
      <c r="A56" s="1">
        <v>15</v>
      </c>
      <c r="B56" s="1">
        <v>0.25</v>
      </c>
      <c r="C56" s="1">
        <v>30.4</v>
      </c>
      <c r="D56" s="1">
        <v>2.1360999999999999</v>
      </c>
      <c r="F56" s="1">
        <v>15</v>
      </c>
      <c r="G56" s="1">
        <v>0.25</v>
      </c>
      <c r="H56" s="1">
        <v>36.799999999999997</v>
      </c>
      <c r="I56" s="1">
        <v>3.1633</v>
      </c>
      <c r="K56" s="1">
        <v>15</v>
      </c>
      <c r="L56" s="1">
        <v>0.25</v>
      </c>
      <c r="M56" s="1">
        <v>35.9</v>
      </c>
      <c r="N56" s="1">
        <v>2.6421999999999999</v>
      </c>
      <c r="P56" s="27"/>
      <c r="Q56" s="27">
        <v>1.7519</v>
      </c>
      <c r="R56" s="27">
        <v>2.1164000000000001</v>
      </c>
    </row>
    <row r="57" spans="1:18" x14ac:dyDescent="0.2">
      <c r="P57" s="27"/>
      <c r="Q57" s="27">
        <v>2.3268</v>
      </c>
      <c r="R57" s="27">
        <v>2.5102000000000002</v>
      </c>
    </row>
    <row r="58" spans="1:18" x14ac:dyDescent="0.2">
      <c r="P58" s="27"/>
      <c r="Q58" s="27">
        <v>2.5668000000000002</v>
      </c>
      <c r="R58" s="27">
        <v>2.9683999999999999</v>
      </c>
    </row>
    <row r="59" spans="1:18" x14ac:dyDescent="0.2">
      <c r="P59" s="27"/>
      <c r="Q59" s="27">
        <v>2.4034</v>
      </c>
      <c r="R59" s="27">
        <v>2.6421999999999999</v>
      </c>
    </row>
  </sheetData>
  <mergeCells count="4">
    <mergeCell ref="A2:C2"/>
    <mergeCell ref="E2:G2"/>
    <mergeCell ref="I2:K2"/>
    <mergeCell ref="M2:O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6A8C-F2FB-478E-AE60-5C7431B44345}">
  <dimension ref="A2:R59"/>
  <sheetViews>
    <sheetView topLeftCell="A6"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6.1875" style="1" bestFit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23">
        <v>0</v>
      </c>
      <c r="B2" s="104"/>
      <c r="C2" s="104"/>
      <c r="E2" s="123">
        <v>0.1</v>
      </c>
      <c r="F2" s="104"/>
      <c r="G2" s="104"/>
      <c r="I2" s="123">
        <v>0.25</v>
      </c>
      <c r="J2" s="104"/>
      <c r="K2" s="104"/>
      <c r="M2" s="104"/>
      <c r="N2" s="104"/>
      <c r="O2" s="104"/>
    </row>
    <row r="3" spans="1:15" ht="27.75" x14ac:dyDescent="0.2">
      <c r="A3" s="1" t="s">
        <v>33</v>
      </c>
      <c r="B3" s="1" t="s">
        <v>34</v>
      </c>
      <c r="C3" s="1" t="s">
        <v>8</v>
      </c>
      <c r="E3" s="1" t="s">
        <v>33</v>
      </c>
      <c r="F3" s="1" t="s">
        <v>34</v>
      </c>
      <c r="G3" s="1" t="s">
        <v>8</v>
      </c>
      <c r="I3" s="1" t="s">
        <v>33</v>
      </c>
      <c r="J3" s="1" t="s">
        <v>34</v>
      </c>
      <c r="K3" s="1" t="s">
        <v>8</v>
      </c>
      <c r="M3" s="80"/>
      <c r="N3" s="80"/>
      <c r="O3" s="80"/>
    </row>
    <row r="4" spans="1:15" x14ac:dyDescent="0.2">
      <c r="A4" s="1" t="s">
        <v>35</v>
      </c>
      <c r="B4" s="1">
        <v>2</v>
      </c>
      <c r="C4" s="27">
        <f>D43</f>
        <v>268.27</v>
      </c>
      <c r="E4" s="1" t="s">
        <v>35</v>
      </c>
      <c r="F4" s="1">
        <v>4</v>
      </c>
      <c r="G4" s="27">
        <f>D45</f>
        <v>205.66</v>
      </c>
      <c r="I4" s="1" t="s">
        <v>35</v>
      </c>
      <c r="J4" s="1">
        <v>5</v>
      </c>
      <c r="K4" s="27">
        <f>D46</f>
        <v>201.67</v>
      </c>
    </row>
    <row r="5" spans="1:15" x14ac:dyDescent="0.2">
      <c r="A5" s="1" t="s">
        <v>35</v>
      </c>
      <c r="B5" s="1">
        <v>3</v>
      </c>
      <c r="C5" s="27">
        <f>D44</f>
        <v>388.75</v>
      </c>
      <c r="E5" s="1" t="s">
        <v>35</v>
      </c>
      <c r="F5" s="1">
        <v>6</v>
      </c>
      <c r="G5" s="27">
        <f>D47</f>
        <v>227.06</v>
      </c>
      <c r="I5" s="1" t="s">
        <v>35</v>
      </c>
      <c r="J5" s="1">
        <v>7</v>
      </c>
      <c r="K5" s="27">
        <f>D48</f>
        <v>250.75</v>
      </c>
    </row>
    <row r="6" spans="1:15" x14ac:dyDescent="0.2">
      <c r="A6" s="1" t="s">
        <v>36</v>
      </c>
      <c r="B6" s="1">
        <v>2</v>
      </c>
      <c r="C6" s="27">
        <f>I43</f>
        <v>211.47</v>
      </c>
      <c r="E6" s="1" t="s">
        <v>35</v>
      </c>
      <c r="F6" s="1">
        <v>8</v>
      </c>
      <c r="G6" s="27">
        <f>D49</f>
        <v>190.34</v>
      </c>
      <c r="I6" s="1" t="s">
        <v>35</v>
      </c>
      <c r="J6" s="1">
        <v>9</v>
      </c>
      <c r="K6" s="27">
        <f>D50</f>
        <v>238.64</v>
      </c>
    </row>
    <row r="7" spans="1:15" x14ac:dyDescent="0.2">
      <c r="A7" s="1" t="s">
        <v>36</v>
      </c>
      <c r="B7" s="1">
        <v>3</v>
      </c>
      <c r="C7" s="27">
        <f>I44</f>
        <v>354.94</v>
      </c>
      <c r="E7" s="1" t="s">
        <v>35</v>
      </c>
      <c r="F7" s="1">
        <v>10</v>
      </c>
      <c r="G7" s="27">
        <f>D51</f>
        <v>252.92</v>
      </c>
      <c r="I7" s="1" t="s">
        <v>35</v>
      </c>
      <c r="J7" s="1">
        <v>11</v>
      </c>
      <c r="K7" s="27">
        <f>D52</f>
        <v>276.22000000000003</v>
      </c>
    </row>
    <row r="8" spans="1:15" x14ac:dyDescent="0.2">
      <c r="A8" s="1" t="s">
        <v>37</v>
      </c>
      <c r="B8" s="1">
        <v>2</v>
      </c>
      <c r="C8" s="27">
        <f>N43</f>
        <v>121.17</v>
      </c>
      <c r="E8" s="1" t="s">
        <v>35</v>
      </c>
      <c r="F8" s="1">
        <v>12</v>
      </c>
      <c r="G8" s="27">
        <f>D53</f>
        <v>318.51</v>
      </c>
      <c r="I8" s="1" t="s">
        <v>35</v>
      </c>
      <c r="J8" s="1">
        <v>13</v>
      </c>
      <c r="K8" s="27">
        <f>D54</f>
        <v>326.7</v>
      </c>
    </row>
    <row r="9" spans="1:15" x14ac:dyDescent="0.2">
      <c r="A9" s="1" t="s">
        <v>37</v>
      </c>
      <c r="B9" s="1">
        <v>3</v>
      </c>
      <c r="C9" s="27">
        <f>N44</f>
        <v>228.77</v>
      </c>
      <c r="E9" s="1" t="s">
        <v>35</v>
      </c>
      <c r="F9" s="1">
        <v>14</v>
      </c>
      <c r="G9" s="27">
        <f>D55</f>
        <v>277.42</v>
      </c>
      <c r="I9" s="1" t="s">
        <v>35</v>
      </c>
      <c r="J9" s="1">
        <v>15</v>
      </c>
      <c r="K9" s="27">
        <f>D56</f>
        <v>285.92</v>
      </c>
    </row>
    <row r="10" spans="1:15" x14ac:dyDescent="0.2">
      <c r="C10" s="27"/>
      <c r="E10" s="1" t="s">
        <v>36</v>
      </c>
      <c r="F10" s="1">
        <v>4</v>
      </c>
      <c r="G10" s="27">
        <f>I45</f>
        <v>254.67</v>
      </c>
      <c r="I10" s="1" t="s">
        <v>36</v>
      </c>
      <c r="J10" s="1">
        <v>5</v>
      </c>
      <c r="K10" s="27">
        <f>I46</f>
        <v>369.98</v>
      </c>
    </row>
    <row r="11" spans="1:15" x14ac:dyDescent="0.2">
      <c r="C11" s="27"/>
      <c r="E11" s="1" t="s">
        <v>36</v>
      </c>
      <c r="F11" s="1">
        <v>6</v>
      </c>
      <c r="G11" s="27">
        <f>I47</f>
        <v>319.06</v>
      </c>
      <c r="I11" s="1" t="s">
        <v>36</v>
      </c>
      <c r="J11" s="1">
        <v>7</v>
      </c>
      <c r="K11" s="27">
        <f>I48</f>
        <v>390.65</v>
      </c>
    </row>
    <row r="12" spans="1:15" x14ac:dyDescent="0.2">
      <c r="C12" s="27"/>
      <c r="E12" s="1" t="s">
        <v>36</v>
      </c>
      <c r="F12" s="1">
        <v>8</v>
      </c>
      <c r="G12" s="27">
        <f>I49</f>
        <v>295.55</v>
      </c>
      <c r="I12" s="1" t="s">
        <v>36</v>
      </c>
      <c r="J12" s="1">
        <v>9</v>
      </c>
      <c r="K12" s="27">
        <f>I50</f>
        <v>332.1</v>
      </c>
    </row>
    <row r="13" spans="1:15" x14ac:dyDescent="0.2">
      <c r="C13" s="27"/>
      <c r="E13" s="1" t="s">
        <v>36</v>
      </c>
      <c r="F13" s="1">
        <v>10</v>
      </c>
      <c r="G13" s="27">
        <f>I51</f>
        <v>403.11</v>
      </c>
      <c r="I13" s="1" t="s">
        <v>36</v>
      </c>
      <c r="J13" s="1">
        <v>11</v>
      </c>
      <c r="K13" s="27">
        <f>I52</f>
        <v>414.66</v>
      </c>
    </row>
    <row r="14" spans="1:15" x14ac:dyDescent="0.2">
      <c r="C14" s="27"/>
      <c r="E14" s="1" t="s">
        <v>36</v>
      </c>
      <c r="F14" s="1">
        <v>12</v>
      </c>
      <c r="G14" s="27">
        <f>I53</f>
        <v>423.57</v>
      </c>
      <c r="I14" s="1" t="s">
        <v>36</v>
      </c>
      <c r="J14" s="1">
        <v>13</v>
      </c>
      <c r="K14" s="27">
        <f>I54</f>
        <v>483.77</v>
      </c>
    </row>
    <row r="15" spans="1:15" x14ac:dyDescent="0.2">
      <c r="C15" s="27"/>
      <c r="E15" s="1" t="s">
        <v>36</v>
      </c>
      <c r="F15" s="1">
        <v>14</v>
      </c>
      <c r="G15" s="27">
        <f>I55</f>
        <v>401.55</v>
      </c>
      <c r="I15" s="1" t="s">
        <v>36</v>
      </c>
      <c r="J15" s="1">
        <v>15</v>
      </c>
      <c r="K15" s="27">
        <f>I56</f>
        <v>490.71</v>
      </c>
    </row>
    <row r="16" spans="1:15" x14ac:dyDescent="0.2">
      <c r="C16" s="27"/>
      <c r="E16" s="1" t="s">
        <v>37</v>
      </c>
      <c r="F16" s="1">
        <v>4</v>
      </c>
      <c r="G16" s="27">
        <f>N45</f>
        <v>176.33</v>
      </c>
      <c r="I16" s="1" t="s">
        <v>37</v>
      </c>
      <c r="J16" s="1">
        <v>5</v>
      </c>
      <c r="K16" s="27">
        <f>N46</f>
        <v>198.2</v>
      </c>
    </row>
    <row r="17" spans="1:11" x14ac:dyDescent="0.2">
      <c r="C17" s="27"/>
      <c r="E17" s="1" t="s">
        <v>37</v>
      </c>
      <c r="F17" s="1">
        <v>6</v>
      </c>
      <c r="G17" s="27">
        <f>N47</f>
        <v>162.5</v>
      </c>
      <c r="I17" s="1" t="s">
        <v>37</v>
      </c>
      <c r="J17" s="1">
        <v>7</v>
      </c>
      <c r="K17" s="27">
        <f>N48</f>
        <v>196.94</v>
      </c>
    </row>
    <row r="18" spans="1:11" x14ac:dyDescent="0.2">
      <c r="C18" s="27"/>
      <c r="E18" s="1" t="s">
        <v>37</v>
      </c>
      <c r="F18" s="1">
        <v>8</v>
      </c>
      <c r="G18" s="27">
        <f>N49</f>
        <v>158.37</v>
      </c>
      <c r="I18" s="1" t="s">
        <v>37</v>
      </c>
      <c r="J18" s="1">
        <v>9</v>
      </c>
      <c r="K18" s="27">
        <f>N50</f>
        <v>183.51</v>
      </c>
    </row>
    <row r="19" spans="1:11" x14ac:dyDescent="0.2">
      <c r="C19" s="27"/>
      <c r="E19" s="1" t="s">
        <v>37</v>
      </c>
      <c r="F19" s="1">
        <v>10</v>
      </c>
      <c r="G19" s="27">
        <f>N51</f>
        <v>216.39</v>
      </c>
      <c r="I19" s="1" t="s">
        <v>37</v>
      </c>
      <c r="J19" s="1">
        <v>11</v>
      </c>
      <c r="K19" s="27">
        <f>N52</f>
        <v>222.88</v>
      </c>
    </row>
    <row r="20" spans="1:11" x14ac:dyDescent="0.2">
      <c r="C20" s="27"/>
      <c r="E20" s="1" t="s">
        <v>37</v>
      </c>
      <c r="F20" s="1">
        <v>12</v>
      </c>
      <c r="G20" s="27">
        <f>N53</f>
        <v>234.1</v>
      </c>
      <c r="I20" s="1" t="s">
        <v>37</v>
      </c>
      <c r="J20" s="1">
        <v>13</v>
      </c>
      <c r="K20" s="27">
        <f>N54</f>
        <v>297.60000000000002</v>
      </c>
    </row>
    <row r="21" spans="1:11" x14ac:dyDescent="0.2">
      <c r="C21" s="27"/>
      <c r="E21" s="1" t="s">
        <v>37</v>
      </c>
      <c r="F21" s="1">
        <v>14</v>
      </c>
      <c r="G21" s="27">
        <f>N55</f>
        <v>239.77</v>
      </c>
      <c r="I21" s="1" t="s">
        <v>37</v>
      </c>
      <c r="J21" s="1">
        <v>15</v>
      </c>
      <c r="K21" s="27">
        <f>N56</f>
        <v>252.96</v>
      </c>
    </row>
    <row r="22" spans="1:11" ht="41.25" x14ac:dyDescent="0.2">
      <c r="A22" s="1" t="s">
        <v>38</v>
      </c>
      <c r="B22" s="1" t="s">
        <v>39</v>
      </c>
      <c r="C22" s="27"/>
      <c r="G22" s="27"/>
      <c r="K22" s="27"/>
    </row>
    <row r="23" spans="1:11" x14ac:dyDescent="0.2">
      <c r="A23" s="80">
        <v>0</v>
      </c>
      <c r="B23" s="27">
        <f>AVERAGE(C4:C21)</f>
        <v>262.22833333333335</v>
      </c>
    </row>
    <row r="24" spans="1:11" x14ac:dyDescent="0.2">
      <c r="A24" s="80">
        <v>0.1</v>
      </c>
      <c r="B24" s="27">
        <f>AVERAGE(G4:G21)</f>
        <v>264.27111111111117</v>
      </c>
    </row>
    <row r="25" spans="1:11" x14ac:dyDescent="0.2">
      <c r="A25" s="80">
        <v>0.25</v>
      </c>
      <c r="B25" s="27">
        <f>AVERAGE(K4:K21)</f>
        <v>300.77000000000004</v>
      </c>
    </row>
    <row r="27" spans="1:11" ht="27.75" x14ac:dyDescent="0.2">
      <c r="A27" s="1" t="s">
        <v>40</v>
      </c>
      <c r="B27" s="79">
        <f>(1-B23/B24)</f>
        <v>7.7298565446259904E-3</v>
      </c>
    </row>
    <row r="40" spans="1:18" x14ac:dyDescent="0.2">
      <c r="A40" s="1" t="s">
        <v>35</v>
      </c>
      <c r="F40" s="1" t="s">
        <v>36</v>
      </c>
      <c r="K40" s="1" t="s">
        <v>37</v>
      </c>
    </row>
    <row r="41" spans="1:18" ht="54.75" x14ac:dyDescent="0.2">
      <c r="A41" s="1" t="s">
        <v>2</v>
      </c>
      <c r="B41" s="1" t="s">
        <v>4</v>
      </c>
      <c r="C41" s="1" t="s">
        <v>6</v>
      </c>
      <c r="D41" s="1" t="s">
        <v>8</v>
      </c>
      <c r="F41" s="1" t="s">
        <v>2</v>
      </c>
      <c r="G41" s="1" t="s">
        <v>4</v>
      </c>
      <c r="H41" s="1" t="s">
        <v>6</v>
      </c>
      <c r="I41" s="1" t="s">
        <v>8</v>
      </c>
      <c r="K41" s="1" t="s">
        <v>2</v>
      </c>
      <c r="L41" s="1" t="s">
        <v>4</v>
      </c>
      <c r="M41" s="1" t="s">
        <v>6</v>
      </c>
      <c r="N41" s="1" t="s">
        <v>8</v>
      </c>
      <c r="P41" s="80">
        <v>0</v>
      </c>
      <c r="Q41" s="80">
        <v>0.1</v>
      </c>
      <c r="R41" s="80">
        <v>0.25</v>
      </c>
    </row>
    <row r="42" spans="1:18" x14ac:dyDescent="0.2">
      <c r="A42" s="1">
        <v>1</v>
      </c>
      <c r="B42" s="1">
        <v>1</v>
      </c>
      <c r="C42" s="1">
        <v>61.3</v>
      </c>
      <c r="D42" s="1">
        <v>823.48</v>
      </c>
      <c r="F42" s="1">
        <v>1</v>
      </c>
      <c r="G42" s="1">
        <v>1</v>
      </c>
      <c r="H42" s="1">
        <v>73</v>
      </c>
      <c r="I42" s="1">
        <v>1280.8800000000001</v>
      </c>
      <c r="K42" s="1">
        <v>1</v>
      </c>
      <c r="L42" s="1">
        <v>1</v>
      </c>
      <c r="M42" s="1">
        <v>74.599999999999994</v>
      </c>
      <c r="N42" s="1">
        <v>713.07</v>
      </c>
      <c r="P42" s="27">
        <f>C4</f>
        <v>268.27</v>
      </c>
      <c r="Q42" s="27">
        <f>G4</f>
        <v>205.66</v>
      </c>
      <c r="R42" s="27">
        <f>K4</f>
        <v>201.67</v>
      </c>
    </row>
    <row r="43" spans="1:18" x14ac:dyDescent="0.2">
      <c r="A43" s="1">
        <v>2</v>
      </c>
      <c r="B43" s="1">
        <v>0</v>
      </c>
      <c r="C43" s="1">
        <v>20</v>
      </c>
      <c r="D43" s="1">
        <v>268.27</v>
      </c>
      <c r="F43" s="1">
        <v>2</v>
      </c>
      <c r="G43" s="1">
        <v>0</v>
      </c>
      <c r="H43" s="1">
        <v>16.7</v>
      </c>
      <c r="I43" s="1">
        <v>211.47</v>
      </c>
      <c r="K43" s="1">
        <v>2</v>
      </c>
      <c r="L43" s="1">
        <v>0</v>
      </c>
      <c r="M43" s="1">
        <v>18</v>
      </c>
      <c r="N43" s="1">
        <v>121.17</v>
      </c>
      <c r="P43" s="27">
        <f t="shared" ref="P43:P47" si="0">C5</f>
        <v>388.75</v>
      </c>
      <c r="Q43" s="27">
        <f t="shared" ref="Q43:Q59" si="1">G5</f>
        <v>227.06</v>
      </c>
      <c r="R43" s="27">
        <f t="shared" ref="R43:R59" si="2">K5</f>
        <v>250.75</v>
      </c>
    </row>
    <row r="44" spans="1:18" x14ac:dyDescent="0.2">
      <c r="A44" s="1">
        <v>3</v>
      </c>
      <c r="B44" s="1">
        <v>0</v>
      </c>
      <c r="C44" s="1">
        <v>25.5</v>
      </c>
      <c r="D44" s="1">
        <v>388.75</v>
      </c>
      <c r="F44" s="1">
        <v>3</v>
      </c>
      <c r="G44" s="1">
        <v>0</v>
      </c>
      <c r="H44" s="1">
        <v>24.1</v>
      </c>
      <c r="I44" s="1">
        <v>354.94</v>
      </c>
      <c r="K44" s="1">
        <v>3</v>
      </c>
      <c r="L44" s="1">
        <v>0</v>
      </c>
      <c r="M44" s="1">
        <v>26.7</v>
      </c>
      <c r="N44" s="1">
        <v>228.77</v>
      </c>
      <c r="P44" s="27">
        <f t="shared" si="0"/>
        <v>211.47</v>
      </c>
      <c r="Q44" s="27">
        <f t="shared" si="1"/>
        <v>190.34</v>
      </c>
      <c r="R44" s="27">
        <f t="shared" si="2"/>
        <v>238.64</v>
      </c>
    </row>
    <row r="45" spans="1:18" x14ac:dyDescent="0.2">
      <c r="A45" s="1">
        <v>4</v>
      </c>
      <c r="B45" s="1">
        <v>0.1</v>
      </c>
      <c r="C45" s="1">
        <v>19.2</v>
      </c>
      <c r="D45" s="1">
        <v>205.66</v>
      </c>
      <c r="F45" s="1">
        <v>4</v>
      </c>
      <c r="G45" s="1">
        <v>0.1</v>
      </c>
      <c r="H45" s="1">
        <v>23</v>
      </c>
      <c r="I45" s="1">
        <v>254.67</v>
      </c>
      <c r="K45" s="1">
        <v>4</v>
      </c>
      <c r="L45" s="1">
        <v>0.1</v>
      </c>
      <c r="M45" s="1">
        <v>24.4</v>
      </c>
      <c r="N45" s="1">
        <v>176.33</v>
      </c>
      <c r="P45" s="27">
        <f t="shared" si="0"/>
        <v>354.94</v>
      </c>
      <c r="Q45" s="27">
        <f t="shared" si="1"/>
        <v>252.92</v>
      </c>
      <c r="R45" s="27">
        <f t="shared" si="2"/>
        <v>276.22000000000003</v>
      </c>
    </row>
    <row r="46" spans="1:18" x14ac:dyDescent="0.2">
      <c r="A46" s="1">
        <v>5</v>
      </c>
      <c r="B46" s="1">
        <v>0.25</v>
      </c>
      <c r="C46" s="1">
        <v>26</v>
      </c>
      <c r="D46" s="1">
        <v>201.67</v>
      </c>
      <c r="F46" s="1">
        <v>5</v>
      </c>
      <c r="G46" s="1">
        <v>0.25</v>
      </c>
      <c r="H46" s="1">
        <v>35.1</v>
      </c>
      <c r="I46" s="1">
        <v>369.98</v>
      </c>
      <c r="K46" s="1">
        <v>5</v>
      </c>
      <c r="L46" s="1">
        <v>0.25</v>
      </c>
      <c r="M46" s="1">
        <v>35.5</v>
      </c>
      <c r="N46" s="1">
        <v>198.2</v>
      </c>
      <c r="P46" s="27">
        <f t="shared" si="0"/>
        <v>121.17</v>
      </c>
      <c r="Q46" s="27">
        <f t="shared" si="1"/>
        <v>318.51</v>
      </c>
      <c r="R46" s="27">
        <f t="shared" si="2"/>
        <v>326.7</v>
      </c>
    </row>
    <row r="47" spans="1:18" x14ac:dyDescent="0.2">
      <c r="A47" s="1">
        <v>6</v>
      </c>
      <c r="B47" s="1">
        <v>0.1</v>
      </c>
      <c r="C47" s="1">
        <v>19</v>
      </c>
      <c r="D47" s="1">
        <v>227.06</v>
      </c>
      <c r="F47" s="1">
        <v>6</v>
      </c>
      <c r="G47" s="1">
        <v>0.1</v>
      </c>
      <c r="H47" s="1">
        <v>22.9</v>
      </c>
      <c r="I47" s="1">
        <v>319.06</v>
      </c>
      <c r="K47" s="1">
        <v>6</v>
      </c>
      <c r="L47" s="1">
        <v>0.1</v>
      </c>
      <c r="M47" s="1">
        <v>22.5</v>
      </c>
      <c r="N47" s="1">
        <v>162.5</v>
      </c>
      <c r="P47" s="27">
        <f t="shared" si="0"/>
        <v>228.77</v>
      </c>
      <c r="Q47" s="27">
        <f t="shared" si="1"/>
        <v>277.42</v>
      </c>
      <c r="R47" s="27">
        <f t="shared" si="2"/>
        <v>285.92</v>
      </c>
    </row>
    <row r="48" spans="1:18" x14ac:dyDescent="0.2">
      <c r="A48" s="1">
        <v>7</v>
      </c>
      <c r="B48" s="1">
        <v>0.25</v>
      </c>
      <c r="C48" s="1">
        <v>26.1</v>
      </c>
      <c r="D48" s="1">
        <v>250.75</v>
      </c>
      <c r="F48" s="1">
        <v>7</v>
      </c>
      <c r="G48" s="1">
        <v>0.25</v>
      </c>
      <c r="H48" s="1">
        <v>31.3</v>
      </c>
      <c r="I48" s="1">
        <v>390.65</v>
      </c>
      <c r="K48" s="1">
        <v>7</v>
      </c>
      <c r="L48" s="1">
        <v>0.25</v>
      </c>
      <c r="M48" s="1">
        <v>30.8</v>
      </c>
      <c r="N48" s="1">
        <v>196.94</v>
      </c>
      <c r="P48" s="27"/>
      <c r="Q48" s="27">
        <f t="shared" si="1"/>
        <v>254.67</v>
      </c>
      <c r="R48" s="27">
        <f t="shared" si="2"/>
        <v>369.98</v>
      </c>
    </row>
    <row r="49" spans="1:18" x14ac:dyDescent="0.2">
      <c r="A49" s="1">
        <v>8</v>
      </c>
      <c r="B49" s="1">
        <v>0.1</v>
      </c>
      <c r="C49" s="1">
        <v>19</v>
      </c>
      <c r="D49" s="1">
        <v>190.34</v>
      </c>
      <c r="F49" s="1">
        <v>8</v>
      </c>
      <c r="G49" s="1">
        <v>0.1</v>
      </c>
      <c r="H49" s="1">
        <v>23</v>
      </c>
      <c r="I49" s="1">
        <v>295.55</v>
      </c>
      <c r="K49" s="1">
        <v>8</v>
      </c>
      <c r="L49" s="1">
        <v>0.1</v>
      </c>
      <c r="M49" s="1">
        <v>22.6</v>
      </c>
      <c r="N49" s="1">
        <v>158.37</v>
      </c>
      <c r="P49" s="27"/>
      <c r="Q49" s="27">
        <f t="shared" si="1"/>
        <v>319.06</v>
      </c>
      <c r="R49" s="27">
        <f t="shared" si="2"/>
        <v>390.65</v>
      </c>
    </row>
    <row r="50" spans="1:18" x14ac:dyDescent="0.2">
      <c r="A50" s="1">
        <v>9</v>
      </c>
      <c r="B50" s="1">
        <v>0.25</v>
      </c>
      <c r="C50" s="1">
        <v>25.6</v>
      </c>
      <c r="D50" s="1">
        <v>238.64</v>
      </c>
      <c r="F50" s="1">
        <v>9</v>
      </c>
      <c r="G50" s="1">
        <v>0.25</v>
      </c>
      <c r="H50" s="1">
        <v>31</v>
      </c>
      <c r="I50" s="1">
        <v>332.1</v>
      </c>
      <c r="K50" s="1">
        <v>9</v>
      </c>
      <c r="L50" s="1">
        <v>0.25</v>
      </c>
      <c r="M50" s="1">
        <v>30.5</v>
      </c>
      <c r="N50" s="1">
        <v>183.51</v>
      </c>
      <c r="P50" s="27"/>
      <c r="Q50" s="27">
        <f t="shared" si="1"/>
        <v>295.55</v>
      </c>
      <c r="R50" s="27">
        <f t="shared" si="2"/>
        <v>332.1</v>
      </c>
    </row>
    <row r="51" spans="1:18" x14ac:dyDescent="0.2">
      <c r="A51" s="1">
        <v>10</v>
      </c>
      <c r="B51" s="1">
        <v>0.1</v>
      </c>
      <c r="C51" s="1">
        <v>24.5</v>
      </c>
      <c r="D51" s="1">
        <v>252.92</v>
      </c>
      <c r="F51" s="1">
        <v>10</v>
      </c>
      <c r="G51" s="1">
        <v>0.1</v>
      </c>
      <c r="H51" s="1">
        <v>29.6</v>
      </c>
      <c r="I51" s="1">
        <v>403.11</v>
      </c>
      <c r="K51" s="1">
        <v>10</v>
      </c>
      <c r="L51" s="1">
        <v>0.1</v>
      </c>
      <c r="M51" s="1">
        <v>29.2</v>
      </c>
      <c r="N51" s="1">
        <v>216.39</v>
      </c>
      <c r="P51" s="27"/>
      <c r="Q51" s="27">
        <f t="shared" si="1"/>
        <v>403.11</v>
      </c>
      <c r="R51" s="27">
        <f t="shared" si="2"/>
        <v>414.66</v>
      </c>
    </row>
    <row r="52" spans="1:18" x14ac:dyDescent="0.2">
      <c r="A52" s="1">
        <v>11</v>
      </c>
      <c r="B52" s="1">
        <v>0.25</v>
      </c>
      <c r="C52" s="1">
        <v>30.8</v>
      </c>
      <c r="D52" s="1">
        <v>276.22000000000003</v>
      </c>
      <c r="F52" s="1">
        <v>11</v>
      </c>
      <c r="G52" s="1">
        <v>0.25</v>
      </c>
      <c r="H52" s="1">
        <v>36.9</v>
      </c>
      <c r="I52" s="1">
        <v>414.66</v>
      </c>
      <c r="K52" s="1">
        <v>11</v>
      </c>
      <c r="L52" s="1">
        <v>0.25</v>
      </c>
      <c r="M52" s="1">
        <v>36.1</v>
      </c>
      <c r="N52" s="1">
        <v>222.88</v>
      </c>
      <c r="P52" s="27"/>
      <c r="Q52" s="27">
        <f t="shared" si="1"/>
        <v>423.57</v>
      </c>
      <c r="R52" s="27">
        <f t="shared" si="2"/>
        <v>483.77</v>
      </c>
    </row>
    <row r="53" spans="1:18" x14ac:dyDescent="0.2">
      <c r="A53" s="1">
        <v>12</v>
      </c>
      <c r="B53" s="1">
        <v>0.1</v>
      </c>
      <c r="C53" s="1">
        <v>24.6</v>
      </c>
      <c r="D53" s="1">
        <v>318.51</v>
      </c>
      <c r="F53" s="1">
        <v>12</v>
      </c>
      <c r="G53" s="1">
        <v>0.1</v>
      </c>
      <c r="H53" s="1">
        <v>29.5</v>
      </c>
      <c r="I53" s="1">
        <v>423.57</v>
      </c>
      <c r="K53" s="1">
        <v>12</v>
      </c>
      <c r="L53" s="1">
        <v>0.1</v>
      </c>
      <c r="M53" s="1">
        <v>28.9</v>
      </c>
      <c r="N53" s="1">
        <v>234.1</v>
      </c>
      <c r="P53" s="27"/>
      <c r="Q53" s="27">
        <f t="shared" si="1"/>
        <v>401.55</v>
      </c>
      <c r="R53" s="27">
        <f t="shared" si="2"/>
        <v>490.71</v>
      </c>
    </row>
    <row r="54" spans="1:18" x14ac:dyDescent="0.2">
      <c r="A54" s="1">
        <v>13</v>
      </c>
      <c r="B54" s="1">
        <v>0.25</v>
      </c>
      <c r="C54" s="1">
        <v>30.8</v>
      </c>
      <c r="D54" s="1">
        <v>326.7</v>
      </c>
      <c r="F54" s="1">
        <v>13</v>
      </c>
      <c r="G54" s="1">
        <v>0.25</v>
      </c>
      <c r="H54" s="1">
        <v>36.9</v>
      </c>
      <c r="I54" s="1">
        <v>483.77</v>
      </c>
      <c r="K54" s="1">
        <v>13</v>
      </c>
      <c r="L54" s="1">
        <v>0.25</v>
      </c>
      <c r="M54" s="1">
        <v>36.200000000000003</v>
      </c>
      <c r="N54" s="1">
        <v>297.60000000000002</v>
      </c>
      <c r="P54" s="27"/>
      <c r="Q54" s="27">
        <f t="shared" si="1"/>
        <v>176.33</v>
      </c>
      <c r="R54" s="27">
        <f t="shared" si="2"/>
        <v>198.2</v>
      </c>
    </row>
    <row r="55" spans="1:18" x14ac:dyDescent="0.2">
      <c r="A55" s="1">
        <v>14</v>
      </c>
      <c r="B55" s="1">
        <v>0.1</v>
      </c>
      <c r="C55" s="1">
        <v>24.6</v>
      </c>
      <c r="D55" s="1">
        <v>277.42</v>
      </c>
      <c r="F55" s="1">
        <v>14</v>
      </c>
      <c r="G55" s="1">
        <v>0.1</v>
      </c>
      <c r="H55" s="1">
        <v>29.8</v>
      </c>
      <c r="I55" s="1">
        <v>401.55</v>
      </c>
      <c r="K55" s="1">
        <v>14</v>
      </c>
      <c r="L55" s="1">
        <v>0.1</v>
      </c>
      <c r="M55" s="1">
        <v>29.2</v>
      </c>
      <c r="N55" s="1">
        <v>239.77</v>
      </c>
      <c r="P55" s="27"/>
      <c r="Q55" s="27">
        <f t="shared" si="1"/>
        <v>162.5</v>
      </c>
      <c r="R55" s="27">
        <f t="shared" si="2"/>
        <v>196.94</v>
      </c>
    </row>
    <row r="56" spans="1:18" x14ac:dyDescent="0.2">
      <c r="A56" s="1">
        <v>15</v>
      </c>
      <c r="B56" s="1">
        <v>0.25</v>
      </c>
      <c r="C56" s="1">
        <v>30.4</v>
      </c>
      <c r="D56" s="1">
        <v>285.92</v>
      </c>
      <c r="F56" s="1">
        <v>15</v>
      </c>
      <c r="G56" s="1">
        <v>0.25</v>
      </c>
      <c r="H56" s="1">
        <v>36.799999999999997</v>
      </c>
      <c r="I56" s="1">
        <v>490.71</v>
      </c>
      <c r="K56" s="1">
        <v>15</v>
      </c>
      <c r="L56" s="1">
        <v>0.25</v>
      </c>
      <c r="M56" s="1">
        <v>35.9</v>
      </c>
      <c r="N56" s="1">
        <v>252.96</v>
      </c>
      <c r="P56" s="27"/>
      <c r="Q56" s="27">
        <f t="shared" si="1"/>
        <v>158.37</v>
      </c>
      <c r="R56" s="27">
        <f t="shared" si="2"/>
        <v>183.51</v>
      </c>
    </row>
    <row r="57" spans="1:18" x14ac:dyDescent="0.2">
      <c r="P57" s="27"/>
      <c r="Q57" s="27">
        <f t="shared" si="1"/>
        <v>216.39</v>
      </c>
      <c r="R57" s="27">
        <f t="shared" si="2"/>
        <v>222.88</v>
      </c>
    </row>
    <row r="58" spans="1:18" x14ac:dyDescent="0.2">
      <c r="P58" s="27"/>
      <c r="Q58" s="27">
        <f t="shared" si="1"/>
        <v>234.1</v>
      </c>
      <c r="R58" s="27">
        <f t="shared" si="2"/>
        <v>297.60000000000002</v>
      </c>
    </row>
    <row r="59" spans="1:18" x14ac:dyDescent="0.2">
      <c r="P59" s="27"/>
      <c r="Q59" s="27">
        <f t="shared" si="1"/>
        <v>239.77</v>
      </c>
      <c r="R59" s="27">
        <f t="shared" si="2"/>
        <v>252.96</v>
      </c>
    </row>
  </sheetData>
  <mergeCells count="4">
    <mergeCell ref="A2:C2"/>
    <mergeCell ref="E2:G2"/>
    <mergeCell ref="I2:K2"/>
    <mergeCell ref="M2:O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AC01-E6B5-45CA-85A7-9628C651F90A}">
  <dimension ref="A2:R59"/>
  <sheetViews>
    <sheetView topLeftCell="A12"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9.95312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6.1875" style="1" bestFit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1" ht="15" customHeight="1" x14ac:dyDescent="0.2">
      <c r="A2" s="123">
        <v>0</v>
      </c>
      <c r="B2" s="104"/>
      <c r="C2" s="104"/>
      <c r="E2" s="123">
        <v>0.1</v>
      </c>
      <c r="F2" s="104"/>
      <c r="G2" s="104"/>
      <c r="I2" s="123">
        <v>0.25</v>
      </c>
      <c r="J2" s="104"/>
      <c r="K2" s="104"/>
    </row>
    <row r="3" spans="1:11" ht="27.75" x14ac:dyDescent="0.2">
      <c r="A3" s="1" t="s">
        <v>33</v>
      </c>
      <c r="B3" s="1" t="s">
        <v>34</v>
      </c>
      <c r="C3" s="1" t="s">
        <v>10</v>
      </c>
      <c r="E3" s="1" t="s">
        <v>33</v>
      </c>
      <c r="F3" s="1" t="s">
        <v>34</v>
      </c>
      <c r="G3" s="1" t="s">
        <v>10</v>
      </c>
      <c r="I3" s="1" t="s">
        <v>33</v>
      </c>
      <c r="J3" s="1" t="s">
        <v>34</v>
      </c>
      <c r="K3" s="1" t="s">
        <v>10</v>
      </c>
    </row>
    <row r="4" spans="1:11" x14ac:dyDescent="0.2">
      <c r="A4" s="1" t="s">
        <v>35</v>
      </c>
      <c r="B4" s="1">
        <v>2</v>
      </c>
      <c r="C4" s="27">
        <f>D43</f>
        <v>2.93E-2</v>
      </c>
      <c r="E4" s="1" t="s">
        <v>35</v>
      </c>
      <c r="F4" s="1">
        <v>4</v>
      </c>
      <c r="G4" s="27">
        <f>D45</f>
        <v>2.07E-2</v>
      </c>
      <c r="I4" s="1" t="s">
        <v>35</v>
      </c>
      <c r="J4" s="1">
        <v>5</v>
      </c>
      <c r="K4" s="27">
        <f>D46</f>
        <v>6.0999999999999999E-2</v>
      </c>
    </row>
    <row r="5" spans="1:11" x14ac:dyDescent="0.2">
      <c r="A5" s="1" t="s">
        <v>35</v>
      </c>
      <c r="B5" s="1">
        <v>3</v>
      </c>
      <c r="C5" s="27">
        <f>D44</f>
        <v>3.2300000000000002E-2</v>
      </c>
      <c r="E5" s="1" t="s">
        <v>35</v>
      </c>
      <c r="F5" s="1">
        <v>6</v>
      </c>
      <c r="G5" s="27">
        <f>D47</f>
        <v>1.61E-2</v>
      </c>
      <c r="I5" s="1" t="s">
        <v>35</v>
      </c>
      <c r="J5" s="1">
        <v>7</v>
      </c>
      <c r="K5" s="27">
        <f>D48</f>
        <v>8.9300000000000004E-2</v>
      </c>
    </row>
    <row r="6" spans="1:11" x14ac:dyDescent="0.2">
      <c r="A6" s="1" t="s">
        <v>36</v>
      </c>
      <c r="B6" s="1">
        <v>2</v>
      </c>
      <c r="C6" s="27">
        <f>I43</f>
        <v>3.27E-2</v>
      </c>
      <c r="E6" s="1" t="s">
        <v>35</v>
      </c>
      <c r="F6" s="1">
        <v>8</v>
      </c>
      <c r="G6" s="27">
        <f>D49</f>
        <v>5.8700000000000002E-2</v>
      </c>
      <c r="I6" s="1" t="s">
        <v>35</v>
      </c>
      <c r="J6" s="1">
        <v>9</v>
      </c>
      <c r="K6" s="27">
        <f>D50</f>
        <v>2.5600000000000001E-2</v>
      </c>
    </row>
    <row r="7" spans="1:11" x14ac:dyDescent="0.2">
      <c r="A7" s="1" t="s">
        <v>36</v>
      </c>
      <c r="B7" s="1">
        <v>3</v>
      </c>
      <c r="C7" s="27">
        <f>I44</f>
        <v>2.35E-2</v>
      </c>
      <c r="E7" s="1" t="s">
        <v>35</v>
      </c>
      <c r="F7" s="1">
        <v>10</v>
      </c>
      <c r="G7" s="27">
        <f>D51</f>
        <v>7.9100000000000004E-2</v>
      </c>
      <c r="I7" s="1" t="s">
        <v>35</v>
      </c>
      <c r="J7" s="1">
        <v>11</v>
      </c>
      <c r="K7" s="27">
        <f>D52</f>
        <v>0.13070000000000001</v>
      </c>
    </row>
    <row r="8" spans="1:11" x14ac:dyDescent="0.2">
      <c r="A8" s="1" t="s">
        <v>37</v>
      </c>
      <c r="B8" s="1">
        <v>2</v>
      </c>
      <c r="C8" s="27">
        <f>N43</f>
        <v>7.4200000000000002E-2</v>
      </c>
      <c r="E8" s="1" t="s">
        <v>35</v>
      </c>
      <c r="F8" s="1">
        <v>12</v>
      </c>
      <c r="G8" s="27">
        <f>D53</f>
        <v>2.0199999999999999E-2</v>
      </c>
      <c r="I8" s="1" t="s">
        <v>35</v>
      </c>
      <c r="J8" s="1">
        <v>13</v>
      </c>
      <c r="K8" s="27">
        <f>D54</f>
        <v>0.1067</v>
      </c>
    </row>
    <row r="9" spans="1:11" x14ac:dyDescent="0.2">
      <c r="A9" s="1" t="s">
        <v>37</v>
      </c>
      <c r="B9" s="1">
        <v>3</v>
      </c>
      <c r="C9" s="27">
        <f>N44</f>
        <v>2.5899999999999999E-2</v>
      </c>
      <c r="E9" s="1" t="s">
        <v>35</v>
      </c>
      <c r="F9" s="1">
        <v>14</v>
      </c>
      <c r="G9" s="27">
        <f>D55</f>
        <v>3.9199999999999999E-2</v>
      </c>
      <c r="I9" s="1" t="s">
        <v>35</v>
      </c>
      <c r="J9" s="1">
        <v>15</v>
      </c>
      <c r="K9" s="27">
        <f>D56</f>
        <v>9.69E-2</v>
      </c>
    </row>
    <row r="10" spans="1:11" x14ac:dyDescent="0.2">
      <c r="C10" s="27"/>
      <c r="E10" s="1" t="s">
        <v>36</v>
      </c>
      <c r="F10" s="1">
        <v>4</v>
      </c>
      <c r="G10" s="27">
        <f>I45</f>
        <v>7.9799999999999996E-2</v>
      </c>
      <c r="I10" s="1" t="s">
        <v>36</v>
      </c>
      <c r="J10" s="1">
        <v>5</v>
      </c>
      <c r="K10" s="27">
        <f>I46</f>
        <v>0.13500000000000001</v>
      </c>
    </row>
    <row r="11" spans="1:11" x14ac:dyDescent="0.2">
      <c r="C11" s="27"/>
      <c r="E11" s="1" t="s">
        <v>36</v>
      </c>
      <c r="F11" s="1">
        <v>6</v>
      </c>
      <c r="G11" s="27">
        <f>I47</f>
        <v>6.7299999999999999E-2</v>
      </c>
      <c r="I11" s="1" t="s">
        <v>36</v>
      </c>
      <c r="J11" s="1">
        <v>7</v>
      </c>
      <c r="K11" s="27">
        <f>I48</f>
        <v>0.12230000000000001</v>
      </c>
    </row>
    <row r="12" spans="1:11" x14ac:dyDescent="0.2">
      <c r="C12" s="27"/>
      <c r="E12" s="1" t="s">
        <v>36</v>
      </c>
      <c r="F12" s="1">
        <v>8</v>
      </c>
      <c r="G12" s="27">
        <f>I49</f>
        <v>8.14E-2</v>
      </c>
      <c r="I12" s="1" t="s">
        <v>36</v>
      </c>
      <c r="J12" s="1">
        <v>9</v>
      </c>
      <c r="K12" s="27">
        <f>I50</f>
        <v>0.1101</v>
      </c>
    </row>
    <row r="13" spans="1:11" x14ac:dyDescent="0.2">
      <c r="C13" s="27"/>
      <c r="E13" s="1" t="s">
        <v>36</v>
      </c>
      <c r="F13" s="1">
        <v>10</v>
      </c>
      <c r="G13" s="27">
        <f>I51</f>
        <v>0.1157</v>
      </c>
      <c r="I13" s="1" t="s">
        <v>36</v>
      </c>
      <c r="J13" s="1">
        <v>11</v>
      </c>
      <c r="K13" s="27">
        <f>I52</f>
        <v>0.1236</v>
      </c>
    </row>
    <row r="14" spans="1:11" x14ac:dyDescent="0.2">
      <c r="C14" s="27"/>
      <c r="E14" s="1" t="s">
        <v>36</v>
      </c>
      <c r="F14" s="1">
        <v>12</v>
      </c>
      <c r="G14" s="27">
        <f>I53</f>
        <v>7.0400000000000004E-2</v>
      </c>
      <c r="I14" s="1" t="s">
        <v>36</v>
      </c>
      <c r="J14" s="1">
        <v>13</v>
      </c>
      <c r="K14" s="27">
        <f>I54</f>
        <v>0.13370000000000001</v>
      </c>
    </row>
    <row r="15" spans="1:11" x14ac:dyDescent="0.2">
      <c r="C15" s="27"/>
      <c r="E15" s="1" t="s">
        <v>36</v>
      </c>
      <c r="F15" s="1">
        <v>14</v>
      </c>
      <c r="G15" s="27">
        <f>I55</f>
        <v>9.0700000000000003E-2</v>
      </c>
      <c r="I15" s="1" t="s">
        <v>36</v>
      </c>
      <c r="J15" s="1">
        <v>15</v>
      </c>
      <c r="K15" s="27">
        <f>I56</f>
        <v>6.6299999999999998E-2</v>
      </c>
    </row>
    <row r="16" spans="1:11" x14ac:dyDescent="0.2">
      <c r="C16" s="27"/>
      <c r="E16" s="1" t="s">
        <v>37</v>
      </c>
      <c r="F16" s="1">
        <v>4</v>
      </c>
      <c r="G16" s="27">
        <f>N45</f>
        <v>9.9400000000000002E-2</v>
      </c>
      <c r="I16" s="1" t="s">
        <v>37</v>
      </c>
      <c r="J16" s="1">
        <v>5</v>
      </c>
      <c r="K16" s="27">
        <f>N46</f>
        <v>0.2044</v>
      </c>
    </row>
    <row r="17" spans="1:11" x14ac:dyDescent="0.2">
      <c r="C17" s="27"/>
      <c r="E17" s="1" t="s">
        <v>37</v>
      </c>
      <c r="F17" s="1">
        <v>6</v>
      </c>
      <c r="G17" s="27">
        <f>N47</f>
        <v>7.5200000000000003E-2</v>
      </c>
      <c r="I17" s="1" t="s">
        <v>37</v>
      </c>
      <c r="J17" s="1">
        <v>7</v>
      </c>
      <c r="K17" s="27">
        <f>N48</f>
        <v>0.11849999999999999</v>
      </c>
    </row>
    <row r="18" spans="1:11" x14ac:dyDescent="0.2">
      <c r="C18" s="27"/>
      <c r="E18" s="1" t="s">
        <v>37</v>
      </c>
      <c r="F18" s="1">
        <v>8</v>
      </c>
      <c r="G18" s="27">
        <f>N49</f>
        <v>4.0099999999999997E-2</v>
      </c>
      <c r="I18" s="1" t="s">
        <v>37</v>
      </c>
      <c r="J18" s="1">
        <v>9</v>
      </c>
      <c r="K18" s="27">
        <f>N50</f>
        <v>0.12039999999999999</v>
      </c>
    </row>
    <row r="19" spans="1:11" x14ac:dyDescent="0.2">
      <c r="C19" s="27"/>
      <c r="E19" s="1" t="s">
        <v>37</v>
      </c>
      <c r="F19" s="1">
        <v>10</v>
      </c>
      <c r="G19" s="27">
        <f>N51</f>
        <v>8.8499999999999995E-2</v>
      </c>
      <c r="I19" s="1" t="s">
        <v>37</v>
      </c>
      <c r="J19" s="1">
        <v>11</v>
      </c>
      <c r="K19" s="27">
        <f>N52</f>
        <v>0.16589999999999999</v>
      </c>
    </row>
    <row r="20" spans="1:11" x14ac:dyDescent="0.2">
      <c r="C20" s="27"/>
      <c r="E20" s="1" t="s">
        <v>37</v>
      </c>
      <c r="F20" s="1">
        <v>12</v>
      </c>
      <c r="G20" s="27">
        <f>N53</f>
        <v>7.2300000000000003E-2</v>
      </c>
      <c r="I20" s="1" t="s">
        <v>37</v>
      </c>
      <c r="J20" s="1">
        <v>13</v>
      </c>
      <c r="K20" s="27">
        <f>N54</f>
        <v>4.5499999999999999E-2</v>
      </c>
    </row>
    <row r="21" spans="1:11" x14ac:dyDescent="0.2">
      <c r="C21" s="27"/>
      <c r="E21" s="1" t="s">
        <v>37</v>
      </c>
      <c r="F21" s="1">
        <v>14</v>
      </c>
      <c r="G21" s="27">
        <f>N55</f>
        <v>4.5499999999999999E-2</v>
      </c>
      <c r="I21" s="1" t="s">
        <v>37</v>
      </c>
      <c r="J21" s="1">
        <v>15</v>
      </c>
      <c r="K21" s="27">
        <f>N56</f>
        <v>7.9399999999999998E-2</v>
      </c>
    </row>
    <row r="22" spans="1:11" ht="41.25" x14ac:dyDescent="0.2">
      <c r="A22" s="1" t="s">
        <v>38</v>
      </c>
      <c r="B22" s="1" t="s">
        <v>41</v>
      </c>
      <c r="C22" s="27"/>
      <c r="G22" s="27"/>
      <c r="K22" s="27"/>
    </row>
    <row r="23" spans="1:11" x14ac:dyDescent="0.2">
      <c r="A23" s="80">
        <v>0</v>
      </c>
      <c r="B23" s="27">
        <f>AVERAGE(C4:C21)</f>
        <v>3.6316666666666671E-2</v>
      </c>
    </row>
    <row r="24" spans="1:11" x14ac:dyDescent="0.2">
      <c r="A24" s="80">
        <v>0.1</v>
      </c>
      <c r="B24" s="27">
        <f>AVERAGE(G4:G21)</f>
        <v>6.4461111111111136E-2</v>
      </c>
    </row>
    <row r="25" spans="1:11" x14ac:dyDescent="0.2">
      <c r="A25" s="80">
        <v>0.25</v>
      </c>
      <c r="B25" s="27">
        <f>AVERAGE(K4:K21)</f>
        <v>0.10751666666666665</v>
      </c>
    </row>
    <row r="27" spans="1:11" ht="27.75" x14ac:dyDescent="0.2">
      <c r="A27" s="1" t="s">
        <v>40</v>
      </c>
      <c r="B27" s="79">
        <f>(1-B23/B24)</f>
        <v>0.43661122123588747</v>
      </c>
    </row>
    <row r="40" spans="1:18" x14ac:dyDescent="0.2">
      <c r="A40" s="1" t="s">
        <v>35</v>
      </c>
      <c r="F40" s="1" t="s">
        <v>36</v>
      </c>
      <c r="K40" s="1" t="s">
        <v>37</v>
      </c>
    </row>
    <row r="41" spans="1:18" ht="54.75" x14ac:dyDescent="0.2">
      <c r="A41" s="1" t="s">
        <v>2</v>
      </c>
      <c r="B41" s="1" t="s">
        <v>4</v>
      </c>
      <c r="C41" s="1" t="s">
        <v>6</v>
      </c>
      <c r="D41" s="1" t="s">
        <v>9</v>
      </c>
      <c r="F41" s="1" t="s">
        <v>2</v>
      </c>
      <c r="G41" s="1" t="s">
        <v>4</v>
      </c>
      <c r="H41" s="1" t="s">
        <v>6</v>
      </c>
      <c r="I41" s="1" t="s">
        <v>9</v>
      </c>
      <c r="K41" s="1" t="s">
        <v>2</v>
      </c>
      <c r="L41" s="1" t="s">
        <v>4</v>
      </c>
      <c r="M41" s="1" t="s">
        <v>6</v>
      </c>
      <c r="N41" s="1" t="s">
        <v>9</v>
      </c>
      <c r="P41" s="80">
        <v>0</v>
      </c>
      <c r="Q41" s="80">
        <v>0.1</v>
      </c>
      <c r="R41" s="80">
        <v>0.25</v>
      </c>
    </row>
    <row r="42" spans="1:18" x14ac:dyDescent="0.2">
      <c r="A42" s="1">
        <v>1</v>
      </c>
      <c r="B42" s="1">
        <v>1</v>
      </c>
      <c r="C42" s="1">
        <v>61.3</v>
      </c>
      <c r="D42" s="1">
        <v>0.23499999999999999</v>
      </c>
      <c r="F42" s="1">
        <v>1</v>
      </c>
      <c r="G42" s="1">
        <v>1</v>
      </c>
      <c r="H42" s="1">
        <v>73</v>
      </c>
      <c r="I42" s="1">
        <v>0.1056</v>
      </c>
      <c r="K42" s="1">
        <v>1</v>
      </c>
      <c r="L42" s="1">
        <v>1</v>
      </c>
      <c r="M42" s="1">
        <v>74.599999999999994</v>
      </c>
      <c r="N42" s="1">
        <v>0.28489999999999999</v>
      </c>
      <c r="P42" s="27">
        <f>C4</f>
        <v>2.93E-2</v>
      </c>
      <c r="Q42" s="27">
        <f>G4</f>
        <v>2.07E-2</v>
      </c>
      <c r="R42" s="27">
        <f>K4</f>
        <v>6.0999999999999999E-2</v>
      </c>
    </row>
    <row r="43" spans="1:18" x14ac:dyDescent="0.2">
      <c r="A43" s="1">
        <v>2</v>
      </c>
      <c r="B43" s="1">
        <v>0</v>
      </c>
      <c r="C43" s="1">
        <v>20</v>
      </c>
      <c r="D43" s="1">
        <v>2.93E-2</v>
      </c>
      <c r="F43" s="1">
        <v>2</v>
      </c>
      <c r="G43" s="1">
        <v>0</v>
      </c>
      <c r="H43" s="1">
        <v>16.7</v>
      </c>
      <c r="I43" s="1">
        <v>3.27E-2</v>
      </c>
      <c r="K43" s="1">
        <v>2</v>
      </c>
      <c r="L43" s="1">
        <v>0</v>
      </c>
      <c r="M43" s="1">
        <v>18</v>
      </c>
      <c r="N43" s="1">
        <v>7.4200000000000002E-2</v>
      </c>
      <c r="P43" s="27">
        <f t="shared" ref="P43:P47" si="0">C5</f>
        <v>3.2300000000000002E-2</v>
      </c>
      <c r="Q43" s="27">
        <f t="shared" ref="Q43:Q59" si="1">G5</f>
        <v>1.61E-2</v>
      </c>
      <c r="R43" s="27">
        <f t="shared" ref="R43:R59" si="2">K5</f>
        <v>8.9300000000000004E-2</v>
      </c>
    </row>
    <row r="44" spans="1:18" x14ac:dyDescent="0.2">
      <c r="A44" s="1">
        <v>3</v>
      </c>
      <c r="B44" s="1">
        <v>0</v>
      </c>
      <c r="C44" s="1">
        <v>25.5</v>
      </c>
      <c r="D44" s="1">
        <v>3.2300000000000002E-2</v>
      </c>
      <c r="F44" s="1">
        <v>3</v>
      </c>
      <c r="G44" s="1">
        <v>0</v>
      </c>
      <c r="H44" s="1">
        <v>24.1</v>
      </c>
      <c r="I44" s="1">
        <v>2.35E-2</v>
      </c>
      <c r="K44" s="1">
        <v>3</v>
      </c>
      <c r="L44" s="1">
        <v>0</v>
      </c>
      <c r="M44" s="1">
        <v>26.7</v>
      </c>
      <c r="N44" s="1">
        <v>2.5899999999999999E-2</v>
      </c>
      <c r="P44" s="27">
        <f t="shared" si="0"/>
        <v>3.27E-2</v>
      </c>
      <c r="Q44" s="27">
        <f t="shared" si="1"/>
        <v>5.8700000000000002E-2</v>
      </c>
      <c r="R44" s="27">
        <f t="shared" si="2"/>
        <v>2.5600000000000001E-2</v>
      </c>
    </row>
    <row r="45" spans="1:18" x14ac:dyDescent="0.2">
      <c r="A45" s="1">
        <v>4</v>
      </c>
      <c r="B45" s="1">
        <v>0.1</v>
      </c>
      <c r="C45" s="1">
        <v>19.2</v>
      </c>
      <c r="D45" s="1">
        <v>2.07E-2</v>
      </c>
      <c r="F45" s="1">
        <v>4</v>
      </c>
      <c r="G45" s="1">
        <v>0.1</v>
      </c>
      <c r="H45" s="1">
        <v>23</v>
      </c>
      <c r="I45" s="1">
        <v>7.9799999999999996E-2</v>
      </c>
      <c r="K45" s="1">
        <v>4</v>
      </c>
      <c r="L45" s="1">
        <v>0.1</v>
      </c>
      <c r="M45" s="1">
        <v>24.4</v>
      </c>
      <c r="N45" s="1">
        <v>9.9400000000000002E-2</v>
      </c>
      <c r="P45" s="27">
        <f t="shared" si="0"/>
        <v>2.35E-2</v>
      </c>
      <c r="Q45" s="27">
        <f t="shared" si="1"/>
        <v>7.9100000000000004E-2</v>
      </c>
      <c r="R45" s="27">
        <f t="shared" si="2"/>
        <v>0.13070000000000001</v>
      </c>
    </row>
    <row r="46" spans="1:18" x14ac:dyDescent="0.2">
      <c r="A46" s="1">
        <v>5</v>
      </c>
      <c r="B46" s="1">
        <v>0.25</v>
      </c>
      <c r="C46" s="1">
        <v>26</v>
      </c>
      <c r="D46" s="1">
        <v>6.0999999999999999E-2</v>
      </c>
      <c r="F46" s="1">
        <v>5</v>
      </c>
      <c r="G46" s="1">
        <v>0.25</v>
      </c>
      <c r="H46" s="1">
        <v>35.1</v>
      </c>
      <c r="I46" s="1">
        <v>0.13500000000000001</v>
      </c>
      <c r="K46" s="1">
        <v>5</v>
      </c>
      <c r="L46" s="1">
        <v>0.25</v>
      </c>
      <c r="M46" s="1">
        <v>35.5</v>
      </c>
      <c r="N46" s="1">
        <v>0.2044</v>
      </c>
      <c r="P46" s="27">
        <f t="shared" si="0"/>
        <v>7.4200000000000002E-2</v>
      </c>
      <c r="Q46" s="27">
        <f t="shared" si="1"/>
        <v>2.0199999999999999E-2</v>
      </c>
      <c r="R46" s="27">
        <f t="shared" si="2"/>
        <v>0.1067</v>
      </c>
    </row>
    <row r="47" spans="1:18" x14ac:dyDescent="0.2">
      <c r="A47" s="1">
        <v>6</v>
      </c>
      <c r="B47" s="1">
        <v>0.1</v>
      </c>
      <c r="C47" s="1">
        <v>19</v>
      </c>
      <c r="D47" s="1">
        <v>1.61E-2</v>
      </c>
      <c r="F47" s="1">
        <v>6</v>
      </c>
      <c r="G47" s="1">
        <v>0.1</v>
      </c>
      <c r="H47" s="1">
        <v>22.9</v>
      </c>
      <c r="I47" s="1">
        <v>6.7299999999999999E-2</v>
      </c>
      <c r="K47" s="1">
        <v>6</v>
      </c>
      <c r="L47" s="1">
        <v>0.1</v>
      </c>
      <c r="M47" s="1">
        <v>22.5</v>
      </c>
      <c r="N47" s="1">
        <v>7.5200000000000003E-2</v>
      </c>
      <c r="P47" s="27">
        <f t="shared" si="0"/>
        <v>2.5899999999999999E-2</v>
      </c>
      <c r="Q47" s="27">
        <f t="shared" si="1"/>
        <v>3.9199999999999999E-2</v>
      </c>
      <c r="R47" s="27">
        <f t="shared" si="2"/>
        <v>9.69E-2</v>
      </c>
    </row>
    <row r="48" spans="1:18" x14ac:dyDescent="0.2">
      <c r="A48" s="1">
        <v>7</v>
      </c>
      <c r="B48" s="1">
        <v>0.25</v>
      </c>
      <c r="C48" s="1">
        <v>26.1</v>
      </c>
      <c r="D48" s="1">
        <v>8.9300000000000004E-2</v>
      </c>
      <c r="F48" s="1">
        <v>7</v>
      </c>
      <c r="G48" s="1">
        <v>0.25</v>
      </c>
      <c r="H48" s="1">
        <v>31.3</v>
      </c>
      <c r="I48" s="1">
        <v>0.12230000000000001</v>
      </c>
      <c r="K48" s="1">
        <v>7</v>
      </c>
      <c r="L48" s="1">
        <v>0.25</v>
      </c>
      <c r="M48" s="1">
        <v>30.8</v>
      </c>
      <c r="N48" s="1">
        <v>0.11849999999999999</v>
      </c>
      <c r="P48" s="27"/>
      <c r="Q48" s="27">
        <f t="shared" si="1"/>
        <v>7.9799999999999996E-2</v>
      </c>
      <c r="R48" s="27">
        <f t="shared" si="2"/>
        <v>0.13500000000000001</v>
      </c>
    </row>
    <row r="49" spans="1:18" x14ac:dyDescent="0.2">
      <c r="A49" s="1">
        <v>8</v>
      </c>
      <c r="B49" s="1">
        <v>0.1</v>
      </c>
      <c r="C49" s="1">
        <v>19</v>
      </c>
      <c r="D49" s="1">
        <v>5.8700000000000002E-2</v>
      </c>
      <c r="F49" s="1">
        <v>8</v>
      </c>
      <c r="G49" s="1">
        <v>0.1</v>
      </c>
      <c r="H49" s="1">
        <v>23</v>
      </c>
      <c r="I49" s="1">
        <v>8.14E-2</v>
      </c>
      <c r="K49" s="1">
        <v>8</v>
      </c>
      <c r="L49" s="1">
        <v>0.1</v>
      </c>
      <c r="M49" s="1">
        <v>22.6</v>
      </c>
      <c r="N49" s="1">
        <v>4.0099999999999997E-2</v>
      </c>
      <c r="P49" s="27"/>
      <c r="Q49" s="27">
        <f t="shared" si="1"/>
        <v>6.7299999999999999E-2</v>
      </c>
      <c r="R49" s="27">
        <f t="shared" si="2"/>
        <v>0.12230000000000001</v>
      </c>
    </row>
    <row r="50" spans="1:18" x14ac:dyDescent="0.2">
      <c r="A50" s="1">
        <v>9</v>
      </c>
      <c r="B50" s="1">
        <v>0.25</v>
      </c>
      <c r="C50" s="1">
        <v>25.6</v>
      </c>
      <c r="D50" s="1">
        <v>2.5600000000000001E-2</v>
      </c>
      <c r="F50" s="1">
        <v>9</v>
      </c>
      <c r="G50" s="1">
        <v>0.25</v>
      </c>
      <c r="H50" s="1">
        <v>31</v>
      </c>
      <c r="I50" s="1">
        <v>0.1101</v>
      </c>
      <c r="K50" s="1">
        <v>9</v>
      </c>
      <c r="L50" s="1">
        <v>0.25</v>
      </c>
      <c r="M50" s="1">
        <v>30.5</v>
      </c>
      <c r="N50" s="1">
        <v>0.12039999999999999</v>
      </c>
      <c r="P50" s="27"/>
      <c r="Q50" s="27">
        <f t="shared" si="1"/>
        <v>8.14E-2</v>
      </c>
      <c r="R50" s="27">
        <f t="shared" si="2"/>
        <v>0.1101</v>
      </c>
    </row>
    <row r="51" spans="1:18" x14ac:dyDescent="0.2">
      <c r="A51" s="1">
        <v>10</v>
      </c>
      <c r="B51" s="1">
        <v>0.1</v>
      </c>
      <c r="C51" s="1">
        <v>24.5</v>
      </c>
      <c r="D51" s="1">
        <v>7.9100000000000004E-2</v>
      </c>
      <c r="F51" s="1">
        <v>10</v>
      </c>
      <c r="G51" s="1">
        <v>0.1</v>
      </c>
      <c r="H51" s="1">
        <v>29.6</v>
      </c>
      <c r="I51" s="1">
        <v>0.1157</v>
      </c>
      <c r="K51" s="1">
        <v>10</v>
      </c>
      <c r="L51" s="1">
        <v>0.1</v>
      </c>
      <c r="M51" s="1">
        <v>29.2</v>
      </c>
      <c r="N51" s="1">
        <v>8.8499999999999995E-2</v>
      </c>
      <c r="P51" s="27"/>
      <c r="Q51" s="27">
        <f t="shared" si="1"/>
        <v>0.1157</v>
      </c>
      <c r="R51" s="27">
        <f t="shared" si="2"/>
        <v>0.1236</v>
      </c>
    </row>
    <row r="52" spans="1:18" x14ac:dyDescent="0.2">
      <c r="A52" s="1">
        <v>11</v>
      </c>
      <c r="B52" s="1">
        <v>0.25</v>
      </c>
      <c r="C52" s="1">
        <v>30.8</v>
      </c>
      <c r="D52" s="1">
        <v>0.13070000000000001</v>
      </c>
      <c r="F52" s="1">
        <v>11</v>
      </c>
      <c r="G52" s="1">
        <v>0.25</v>
      </c>
      <c r="H52" s="1">
        <v>36.9</v>
      </c>
      <c r="I52" s="1">
        <v>0.1236</v>
      </c>
      <c r="K52" s="1">
        <v>11</v>
      </c>
      <c r="L52" s="1">
        <v>0.25</v>
      </c>
      <c r="M52" s="1">
        <v>36.1</v>
      </c>
      <c r="N52" s="1">
        <v>0.16589999999999999</v>
      </c>
      <c r="P52" s="27"/>
      <c r="Q52" s="27">
        <f t="shared" si="1"/>
        <v>7.0400000000000004E-2</v>
      </c>
      <c r="R52" s="27">
        <f t="shared" si="2"/>
        <v>0.13370000000000001</v>
      </c>
    </row>
    <row r="53" spans="1:18" x14ac:dyDescent="0.2">
      <c r="A53" s="1">
        <v>12</v>
      </c>
      <c r="B53" s="1">
        <v>0.1</v>
      </c>
      <c r="C53" s="1">
        <v>24.6</v>
      </c>
      <c r="D53" s="1">
        <v>2.0199999999999999E-2</v>
      </c>
      <c r="F53" s="1">
        <v>12</v>
      </c>
      <c r="G53" s="1">
        <v>0.1</v>
      </c>
      <c r="H53" s="1">
        <v>29.5</v>
      </c>
      <c r="I53" s="1">
        <v>7.0400000000000004E-2</v>
      </c>
      <c r="K53" s="1">
        <v>12</v>
      </c>
      <c r="L53" s="1">
        <v>0.1</v>
      </c>
      <c r="M53" s="1">
        <v>28.9</v>
      </c>
      <c r="N53" s="1">
        <v>7.2300000000000003E-2</v>
      </c>
      <c r="P53" s="27"/>
      <c r="Q53" s="27">
        <f t="shared" si="1"/>
        <v>9.0700000000000003E-2</v>
      </c>
      <c r="R53" s="27">
        <f t="shared" si="2"/>
        <v>6.6299999999999998E-2</v>
      </c>
    </row>
    <row r="54" spans="1:18" x14ac:dyDescent="0.2">
      <c r="A54" s="1">
        <v>13</v>
      </c>
      <c r="B54" s="1">
        <v>0.25</v>
      </c>
      <c r="C54" s="1">
        <v>30.8</v>
      </c>
      <c r="D54" s="1">
        <v>0.1067</v>
      </c>
      <c r="F54" s="1">
        <v>13</v>
      </c>
      <c r="G54" s="1">
        <v>0.25</v>
      </c>
      <c r="H54" s="1">
        <v>36.9</v>
      </c>
      <c r="I54" s="1">
        <v>0.13370000000000001</v>
      </c>
      <c r="K54" s="1">
        <v>13</v>
      </c>
      <c r="L54" s="1">
        <v>0.25</v>
      </c>
      <c r="M54" s="1">
        <v>36.200000000000003</v>
      </c>
      <c r="N54" s="1">
        <v>4.5499999999999999E-2</v>
      </c>
      <c r="P54" s="27"/>
      <c r="Q54" s="27">
        <f t="shared" si="1"/>
        <v>9.9400000000000002E-2</v>
      </c>
      <c r="R54" s="27">
        <f t="shared" si="2"/>
        <v>0.2044</v>
      </c>
    </row>
    <row r="55" spans="1:18" x14ac:dyDescent="0.2">
      <c r="A55" s="1">
        <v>14</v>
      </c>
      <c r="B55" s="1">
        <v>0.1</v>
      </c>
      <c r="C55" s="1">
        <v>24.6</v>
      </c>
      <c r="D55" s="1">
        <v>3.9199999999999999E-2</v>
      </c>
      <c r="F55" s="1">
        <v>14</v>
      </c>
      <c r="G55" s="1">
        <v>0.1</v>
      </c>
      <c r="H55" s="1">
        <v>29.8</v>
      </c>
      <c r="I55" s="1">
        <v>9.0700000000000003E-2</v>
      </c>
      <c r="K55" s="1">
        <v>14</v>
      </c>
      <c r="L55" s="1">
        <v>0.1</v>
      </c>
      <c r="M55" s="1">
        <v>29.2</v>
      </c>
      <c r="N55" s="1">
        <v>4.5499999999999999E-2</v>
      </c>
      <c r="P55" s="27"/>
      <c r="Q55" s="27">
        <f t="shared" si="1"/>
        <v>7.5200000000000003E-2</v>
      </c>
      <c r="R55" s="27">
        <f t="shared" si="2"/>
        <v>0.11849999999999999</v>
      </c>
    </row>
    <row r="56" spans="1:18" x14ac:dyDescent="0.2">
      <c r="A56" s="1">
        <v>15</v>
      </c>
      <c r="B56" s="1">
        <v>0.25</v>
      </c>
      <c r="C56" s="1">
        <v>30.4</v>
      </c>
      <c r="D56" s="1">
        <v>9.69E-2</v>
      </c>
      <c r="F56" s="1">
        <v>15</v>
      </c>
      <c r="G56" s="1">
        <v>0.25</v>
      </c>
      <c r="H56" s="1">
        <v>36.799999999999997</v>
      </c>
      <c r="I56" s="1">
        <v>6.6299999999999998E-2</v>
      </c>
      <c r="K56" s="1">
        <v>15</v>
      </c>
      <c r="L56" s="1">
        <v>0.25</v>
      </c>
      <c r="M56" s="1">
        <v>35.9</v>
      </c>
      <c r="N56" s="1">
        <v>7.9399999999999998E-2</v>
      </c>
      <c r="P56" s="27"/>
      <c r="Q56" s="27">
        <f t="shared" si="1"/>
        <v>4.0099999999999997E-2</v>
      </c>
      <c r="R56" s="27">
        <f t="shared" si="2"/>
        <v>0.12039999999999999</v>
      </c>
    </row>
    <row r="57" spans="1:18" x14ac:dyDescent="0.2">
      <c r="P57" s="27"/>
      <c r="Q57" s="27">
        <f t="shared" si="1"/>
        <v>8.8499999999999995E-2</v>
      </c>
      <c r="R57" s="27">
        <f t="shared" si="2"/>
        <v>0.16589999999999999</v>
      </c>
    </row>
    <row r="58" spans="1:18" x14ac:dyDescent="0.2">
      <c r="P58" s="27"/>
      <c r="Q58" s="27">
        <f t="shared" si="1"/>
        <v>7.2300000000000003E-2</v>
      </c>
      <c r="R58" s="27">
        <f t="shared" si="2"/>
        <v>4.5499999999999999E-2</v>
      </c>
    </row>
    <row r="59" spans="1:18" x14ac:dyDescent="0.2">
      <c r="P59" s="27"/>
      <c r="Q59" s="27">
        <f t="shared" si="1"/>
        <v>4.5499999999999999E-2</v>
      </c>
      <c r="R59" s="27">
        <f t="shared" si="2"/>
        <v>7.9399999999999998E-2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43FA-2318-44C0-969A-92CDC9E54B47}">
  <dimension ref="A2:R59"/>
  <sheetViews>
    <sheetView topLeftCell="A9" zoomScale="70" zoomScaleNormal="70" workbookViewId="0">
      <selection activeCell="I2" sqref="I2:K2"/>
    </sheetView>
  </sheetViews>
  <sheetFormatPr defaultColWidth="9.14453125" defaultRowHeight="15" x14ac:dyDescent="0.2"/>
  <cols>
    <col min="1" max="1" width="11.703125" style="1" bestFit="1" customWidth="1"/>
    <col min="2" max="2" width="9.95312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6.1875" style="1" bestFit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1" ht="15" customHeight="1" x14ac:dyDescent="0.2">
      <c r="A2" s="123">
        <v>0</v>
      </c>
      <c r="B2" s="104"/>
      <c r="C2" s="104"/>
      <c r="E2" s="123">
        <v>0.1</v>
      </c>
      <c r="F2" s="104"/>
      <c r="G2" s="104"/>
      <c r="I2" s="123">
        <v>0.25</v>
      </c>
      <c r="J2" s="104"/>
      <c r="K2" s="104"/>
    </row>
    <row r="3" spans="1:11" ht="27.75" x14ac:dyDescent="0.2">
      <c r="A3" s="1" t="s">
        <v>33</v>
      </c>
      <c r="B3" s="1" t="s">
        <v>34</v>
      </c>
      <c r="C3" s="1" t="s">
        <v>10</v>
      </c>
      <c r="E3" s="1" t="s">
        <v>33</v>
      </c>
      <c r="F3" s="1" t="s">
        <v>34</v>
      </c>
      <c r="G3" s="1" t="s">
        <v>10</v>
      </c>
      <c r="I3" s="1" t="s">
        <v>33</v>
      </c>
      <c r="J3" s="1" t="s">
        <v>34</v>
      </c>
      <c r="K3" s="1" t="s">
        <v>10</v>
      </c>
    </row>
    <row r="4" spans="1:11" x14ac:dyDescent="0.2">
      <c r="A4" s="1" t="s">
        <v>35</v>
      </c>
      <c r="B4" s="1">
        <v>2</v>
      </c>
      <c r="C4" s="27">
        <f>D43</f>
        <v>0.68210000000000004</v>
      </c>
      <c r="E4" s="1" t="s">
        <v>35</v>
      </c>
      <c r="F4" s="1">
        <v>4</v>
      </c>
      <c r="G4" s="27">
        <f>D45</f>
        <v>0.50519999999999998</v>
      </c>
      <c r="I4" s="1" t="s">
        <v>35</v>
      </c>
      <c r="J4" s="1">
        <v>5</v>
      </c>
      <c r="K4" s="27">
        <f>D46</f>
        <v>0.88429999999999997</v>
      </c>
    </row>
    <row r="5" spans="1:11" x14ac:dyDescent="0.2">
      <c r="A5" s="1" t="s">
        <v>35</v>
      </c>
      <c r="B5" s="1">
        <v>3</v>
      </c>
      <c r="C5" s="27">
        <f>D44</f>
        <v>0.85670000000000002</v>
      </c>
      <c r="E5" s="1" t="s">
        <v>35</v>
      </c>
      <c r="F5" s="1">
        <v>6</v>
      </c>
      <c r="G5" s="27">
        <f>D47</f>
        <v>0.4627</v>
      </c>
      <c r="I5" s="1" t="s">
        <v>35</v>
      </c>
      <c r="J5" s="1">
        <v>7</v>
      </c>
      <c r="K5" s="27">
        <f>D48</f>
        <v>1.1915</v>
      </c>
    </row>
    <row r="6" spans="1:11" x14ac:dyDescent="0.2">
      <c r="A6" s="1" t="s">
        <v>36</v>
      </c>
      <c r="B6" s="1">
        <v>2</v>
      </c>
      <c r="C6" s="27">
        <f>I43</f>
        <v>0.64910000000000001</v>
      </c>
      <c r="E6" s="1" t="s">
        <v>35</v>
      </c>
      <c r="F6" s="1">
        <v>8</v>
      </c>
      <c r="G6" s="27">
        <f>D49</f>
        <v>0.8357</v>
      </c>
      <c r="I6" s="1" t="s">
        <v>35</v>
      </c>
      <c r="J6" s="1">
        <v>9</v>
      </c>
      <c r="K6" s="27">
        <f>D50</f>
        <v>0.60750000000000004</v>
      </c>
    </row>
    <row r="7" spans="1:11" x14ac:dyDescent="0.2">
      <c r="A7" s="1" t="s">
        <v>36</v>
      </c>
      <c r="B7" s="1">
        <v>3</v>
      </c>
      <c r="C7" s="27">
        <f>I44</f>
        <v>0.69299999999999995</v>
      </c>
      <c r="E7" s="1" t="s">
        <v>35</v>
      </c>
      <c r="F7" s="1">
        <v>10</v>
      </c>
      <c r="G7" s="27">
        <f>D51</f>
        <v>1.1189</v>
      </c>
      <c r="I7" s="1" t="s">
        <v>35</v>
      </c>
      <c r="J7" s="1">
        <v>11</v>
      </c>
      <c r="K7" s="27">
        <f>D52</f>
        <v>1.518</v>
      </c>
    </row>
    <row r="8" spans="1:11" x14ac:dyDescent="0.2">
      <c r="A8" s="1" t="s">
        <v>37</v>
      </c>
      <c r="B8" s="1">
        <v>2</v>
      </c>
      <c r="C8" s="27">
        <f>N43</f>
        <v>0.75680000000000003</v>
      </c>
      <c r="E8" s="1" t="s">
        <v>35</v>
      </c>
      <c r="F8" s="1">
        <v>12</v>
      </c>
      <c r="G8" s="27">
        <f>D53</f>
        <v>0.60750000000000004</v>
      </c>
      <c r="I8" s="1" t="s">
        <v>35</v>
      </c>
      <c r="J8" s="1">
        <v>13</v>
      </c>
      <c r="K8" s="27">
        <f>D54</f>
        <v>1.4839</v>
      </c>
    </row>
    <row r="9" spans="1:11" x14ac:dyDescent="0.2">
      <c r="A9" s="1" t="s">
        <v>37</v>
      </c>
      <c r="B9" s="1">
        <v>3</v>
      </c>
      <c r="C9" s="27">
        <f>N44</f>
        <v>0.59799999999999998</v>
      </c>
      <c r="E9" s="1" t="s">
        <v>35</v>
      </c>
      <c r="F9" s="1">
        <v>14</v>
      </c>
      <c r="G9" s="27">
        <f>D55</f>
        <v>0.81379999999999997</v>
      </c>
      <c r="I9" s="1" t="s">
        <v>35</v>
      </c>
      <c r="J9" s="1">
        <v>15</v>
      </c>
      <c r="K9" s="27">
        <f>D56</f>
        <v>1.3223</v>
      </c>
    </row>
    <row r="10" spans="1:11" x14ac:dyDescent="0.2">
      <c r="C10" s="27"/>
      <c r="E10" s="1" t="s">
        <v>36</v>
      </c>
      <c r="F10" s="1">
        <v>4</v>
      </c>
      <c r="G10" s="27">
        <f>I45</f>
        <v>1.1251</v>
      </c>
      <c r="I10" s="1" t="s">
        <v>36</v>
      </c>
      <c r="J10" s="1">
        <v>5</v>
      </c>
      <c r="K10" s="27">
        <f>I46</f>
        <v>1.7471000000000001</v>
      </c>
    </row>
    <row r="11" spans="1:11" x14ac:dyDescent="0.2">
      <c r="C11" s="27"/>
      <c r="E11" s="1" t="s">
        <v>36</v>
      </c>
      <c r="F11" s="1">
        <v>6</v>
      </c>
      <c r="G11" s="27">
        <f>I47</f>
        <v>1.1477999999999999</v>
      </c>
      <c r="I11" s="1" t="s">
        <v>36</v>
      </c>
      <c r="J11" s="1">
        <v>7</v>
      </c>
      <c r="K11" s="27">
        <f>I48</f>
        <v>1.7310000000000001</v>
      </c>
    </row>
    <row r="12" spans="1:11" x14ac:dyDescent="0.2">
      <c r="C12" s="27"/>
      <c r="E12" s="1" t="s">
        <v>36</v>
      </c>
      <c r="F12" s="1">
        <v>8</v>
      </c>
      <c r="G12" s="27">
        <f>I49</f>
        <v>1.2306999999999999</v>
      </c>
      <c r="I12" s="1" t="s">
        <v>36</v>
      </c>
      <c r="J12" s="1">
        <v>9</v>
      </c>
      <c r="K12" s="27">
        <f>I50</f>
        <v>1.5125999999999999</v>
      </c>
    </row>
    <row r="13" spans="1:11" x14ac:dyDescent="0.2">
      <c r="C13" s="27"/>
      <c r="E13" s="1" t="s">
        <v>36</v>
      </c>
      <c r="F13" s="1">
        <v>10</v>
      </c>
      <c r="G13" s="27">
        <f>I51</f>
        <v>1.7043999999999999</v>
      </c>
      <c r="I13" s="1" t="s">
        <v>36</v>
      </c>
      <c r="J13" s="1">
        <v>11</v>
      </c>
      <c r="K13" s="27">
        <f>I52</f>
        <v>1.7942</v>
      </c>
    </row>
    <row r="14" spans="1:11" x14ac:dyDescent="0.2">
      <c r="C14" s="27"/>
      <c r="E14" s="1" t="s">
        <v>36</v>
      </c>
      <c r="F14" s="1">
        <v>12</v>
      </c>
      <c r="G14" s="27">
        <f>I53</f>
        <v>1.35</v>
      </c>
      <c r="I14" s="1" t="s">
        <v>36</v>
      </c>
      <c r="J14" s="1">
        <v>13</v>
      </c>
      <c r="K14" s="27">
        <f>I54</f>
        <v>2.0055999999999998</v>
      </c>
    </row>
    <row r="15" spans="1:11" x14ac:dyDescent="0.2">
      <c r="C15" s="27"/>
      <c r="E15" s="1" t="s">
        <v>36</v>
      </c>
      <c r="F15" s="1">
        <v>14</v>
      </c>
      <c r="G15" s="27">
        <f>I55</f>
        <v>1.4959</v>
      </c>
      <c r="I15" s="1" t="s">
        <v>36</v>
      </c>
      <c r="J15" s="1">
        <v>15</v>
      </c>
      <c r="K15" s="27">
        <f>I56</f>
        <v>1.401</v>
      </c>
    </row>
    <row r="16" spans="1:11" x14ac:dyDescent="0.2">
      <c r="C16" s="27"/>
      <c r="E16" s="1" t="s">
        <v>37</v>
      </c>
      <c r="F16" s="1">
        <v>4</v>
      </c>
      <c r="G16" s="27">
        <f>N45</f>
        <v>1.0670999999999999</v>
      </c>
      <c r="I16" s="1" t="s">
        <v>37</v>
      </c>
      <c r="J16" s="1">
        <v>5</v>
      </c>
      <c r="K16" s="27">
        <f>N46</f>
        <v>1.5927</v>
      </c>
    </row>
    <row r="17" spans="1:11" x14ac:dyDescent="0.2">
      <c r="C17" s="27"/>
      <c r="E17" s="1" t="s">
        <v>37</v>
      </c>
      <c r="F17" s="1">
        <v>6</v>
      </c>
      <c r="G17" s="27">
        <f>N47</f>
        <v>0.85489999999999999</v>
      </c>
      <c r="I17" s="1" t="s">
        <v>37</v>
      </c>
      <c r="J17" s="1">
        <v>7</v>
      </c>
      <c r="K17" s="27">
        <f>N48</f>
        <v>1.2203999999999999</v>
      </c>
    </row>
    <row r="18" spans="1:11" x14ac:dyDescent="0.2">
      <c r="C18" s="27"/>
      <c r="E18" s="1" t="s">
        <v>37</v>
      </c>
      <c r="F18" s="1">
        <v>8</v>
      </c>
      <c r="G18" s="27">
        <f>N49</f>
        <v>0.63260000000000005</v>
      </c>
      <c r="I18" s="1" t="s">
        <v>37</v>
      </c>
      <c r="J18" s="1">
        <v>9</v>
      </c>
      <c r="K18" s="27">
        <f>N50</f>
        <v>1.1698999999999999</v>
      </c>
    </row>
    <row r="19" spans="1:11" x14ac:dyDescent="0.2">
      <c r="C19" s="27"/>
      <c r="E19" s="1" t="s">
        <v>37</v>
      </c>
      <c r="F19" s="1">
        <v>10</v>
      </c>
      <c r="G19" s="27">
        <f>N51</f>
        <v>1.1033999999999999</v>
      </c>
      <c r="I19" s="1" t="s">
        <v>37</v>
      </c>
      <c r="J19" s="1">
        <v>11</v>
      </c>
      <c r="K19" s="27">
        <f>N52</f>
        <v>1.4641999999999999</v>
      </c>
    </row>
    <row r="20" spans="1:11" x14ac:dyDescent="0.2">
      <c r="C20" s="27"/>
      <c r="E20" s="1" t="s">
        <v>37</v>
      </c>
      <c r="F20" s="1">
        <v>12</v>
      </c>
      <c r="G20" s="27">
        <f>N53</f>
        <v>1.0248999999999999</v>
      </c>
      <c r="I20" s="1" t="s">
        <v>37</v>
      </c>
      <c r="J20" s="1">
        <v>13</v>
      </c>
      <c r="K20" s="27">
        <f>N54</f>
        <v>0.92620000000000002</v>
      </c>
    </row>
    <row r="21" spans="1:11" x14ac:dyDescent="0.2">
      <c r="C21" s="27"/>
      <c r="E21" s="1" t="s">
        <v>37</v>
      </c>
      <c r="F21" s="1">
        <v>14</v>
      </c>
      <c r="G21" s="27">
        <f>N55</f>
        <v>0.82030000000000003</v>
      </c>
      <c r="I21" s="1" t="s">
        <v>37</v>
      </c>
      <c r="J21" s="1">
        <v>15</v>
      </c>
      <c r="K21" s="27">
        <f>N56</f>
        <v>1.1318999999999999</v>
      </c>
    </row>
    <row r="22" spans="1:11" ht="41.25" x14ac:dyDescent="0.2">
      <c r="A22" s="1" t="s">
        <v>38</v>
      </c>
      <c r="B22" s="1" t="s">
        <v>41</v>
      </c>
      <c r="C22" s="27"/>
      <c r="G22" s="27"/>
      <c r="K22" s="27"/>
    </row>
    <row r="23" spans="1:11" x14ac:dyDescent="0.2">
      <c r="A23" s="80">
        <v>0</v>
      </c>
      <c r="B23" s="27">
        <f>AVERAGE(C4:C21)</f>
        <v>0.70595000000000008</v>
      </c>
    </row>
    <row r="24" spans="1:11" x14ac:dyDescent="0.2">
      <c r="A24" s="80">
        <v>0.1</v>
      </c>
      <c r="B24" s="27">
        <f>AVERAGE(G4:G21)</f>
        <v>0.99449444444444446</v>
      </c>
    </row>
    <row r="25" spans="1:11" x14ac:dyDescent="0.2">
      <c r="A25" s="80">
        <v>0.25</v>
      </c>
      <c r="B25" s="27">
        <f>AVERAGE(K4:K21)</f>
        <v>1.3724611111111114</v>
      </c>
    </row>
    <row r="27" spans="1:11" ht="27.75" x14ac:dyDescent="0.2">
      <c r="A27" s="1" t="s">
        <v>40</v>
      </c>
      <c r="B27" s="79">
        <f>(1-B23/B24)</f>
        <v>0.29014183644397762</v>
      </c>
    </row>
    <row r="40" spans="1:18" x14ac:dyDescent="0.2">
      <c r="A40" s="1" t="s">
        <v>35</v>
      </c>
      <c r="F40" s="1" t="s">
        <v>36</v>
      </c>
      <c r="K40" s="1" t="s">
        <v>37</v>
      </c>
    </row>
    <row r="41" spans="1:18" ht="41.25" x14ac:dyDescent="0.2">
      <c r="A41" s="1" t="s">
        <v>2</v>
      </c>
      <c r="B41" s="1" t="s">
        <v>4</v>
      </c>
      <c r="C41" s="1" t="s">
        <v>6</v>
      </c>
      <c r="D41" s="1" t="s">
        <v>10</v>
      </c>
      <c r="F41" s="1" t="s">
        <v>2</v>
      </c>
      <c r="G41" s="1" t="s">
        <v>4</v>
      </c>
      <c r="H41" s="1" t="s">
        <v>6</v>
      </c>
      <c r="I41" s="1" t="s">
        <v>10</v>
      </c>
      <c r="K41" s="1" t="s">
        <v>2</v>
      </c>
      <c r="L41" s="1" t="s">
        <v>4</v>
      </c>
      <c r="M41" s="1" t="s">
        <v>6</v>
      </c>
      <c r="N41" s="1" t="s">
        <v>10</v>
      </c>
      <c r="P41" s="80">
        <v>0</v>
      </c>
      <c r="Q41" s="80">
        <v>0.1</v>
      </c>
      <c r="R41" s="80">
        <v>0.25</v>
      </c>
    </row>
    <row r="42" spans="1:18" x14ac:dyDescent="0.2">
      <c r="A42" s="1">
        <v>1</v>
      </c>
      <c r="B42" s="1">
        <v>1</v>
      </c>
      <c r="C42" s="1">
        <v>61.3</v>
      </c>
      <c r="D42" s="1">
        <v>3.4478</v>
      </c>
      <c r="F42" s="1">
        <v>1</v>
      </c>
      <c r="G42" s="1">
        <v>1</v>
      </c>
      <c r="H42" s="1">
        <v>73</v>
      </c>
      <c r="I42" s="1">
        <v>2.6981999999999999</v>
      </c>
      <c r="K42" s="1">
        <v>1</v>
      </c>
      <c r="L42" s="1">
        <v>1</v>
      </c>
      <c r="M42" s="1">
        <v>74.599999999999994</v>
      </c>
      <c r="N42" s="1">
        <v>3.56</v>
      </c>
      <c r="P42" s="27">
        <f>C4</f>
        <v>0.68210000000000004</v>
      </c>
      <c r="Q42" s="27">
        <f>G4</f>
        <v>0.50519999999999998</v>
      </c>
      <c r="R42" s="27">
        <f>K4</f>
        <v>0.88429999999999997</v>
      </c>
    </row>
    <row r="43" spans="1:18" x14ac:dyDescent="0.2">
      <c r="A43" s="1">
        <v>2</v>
      </c>
      <c r="B43" s="1">
        <v>0</v>
      </c>
      <c r="C43" s="1">
        <v>20</v>
      </c>
      <c r="D43" s="1">
        <v>0.68210000000000004</v>
      </c>
      <c r="F43" s="1">
        <v>2</v>
      </c>
      <c r="G43" s="1">
        <v>0</v>
      </c>
      <c r="H43" s="1">
        <v>16.7</v>
      </c>
      <c r="I43" s="1">
        <v>0.64910000000000001</v>
      </c>
      <c r="K43" s="1">
        <v>2</v>
      </c>
      <c r="L43" s="1">
        <v>0</v>
      </c>
      <c r="M43" s="1">
        <v>18</v>
      </c>
      <c r="N43" s="1">
        <v>0.75680000000000003</v>
      </c>
      <c r="P43" s="27">
        <f t="shared" ref="P43:P47" si="0">C5</f>
        <v>0.85670000000000002</v>
      </c>
      <c r="Q43" s="27">
        <f t="shared" ref="Q43:Q59" si="1">G5</f>
        <v>0.4627</v>
      </c>
      <c r="R43" s="27">
        <f t="shared" ref="R43:R59" si="2">K5</f>
        <v>1.1915</v>
      </c>
    </row>
    <row r="44" spans="1:18" x14ac:dyDescent="0.2">
      <c r="A44" s="1">
        <v>3</v>
      </c>
      <c r="B44" s="1">
        <v>0</v>
      </c>
      <c r="C44" s="1">
        <v>25.5</v>
      </c>
      <c r="D44" s="1">
        <v>0.85670000000000002</v>
      </c>
      <c r="F44" s="1">
        <v>3</v>
      </c>
      <c r="G44" s="1">
        <v>0</v>
      </c>
      <c r="H44" s="1">
        <v>24.1</v>
      </c>
      <c r="I44" s="1">
        <v>0.69299999999999995</v>
      </c>
      <c r="K44" s="1">
        <v>3</v>
      </c>
      <c r="L44" s="1">
        <v>0</v>
      </c>
      <c r="M44" s="1">
        <v>26.7</v>
      </c>
      <c r="N44" s="1">
        <v>0.59799999999999998</v>
      </c>
      <c r="P44" s="27">
        <f t="shared" si="0"/>
        <v>0.64910000000000001</v>
      </c>
      <c r="Q44" s="27">
        <f t="shared" si="1"/>
        <v>0.8357</v>
      </c>
      <c r="R44" s="27">
        <f t="shared" si="2"/>
        <v>0.60750000000000004</v>
      </c>
    </row>
    <row r="45" spans="1:18" x14ac:dyDescent="0.2">
      <c r="A45" s="1">
        <v>4</v>
      </c>
      <c r="B45" s="1">
        <v>0.1</v>
      </c>
      <c r="C45" s="1">
        <v>19.2</v>
      </c>
      <c r="D45" s="1">
        <v>0.50519999999999998</v>
      </c>
      <c r="F45" s="1">
        <v>4</v>
      </c>
      <c r="G45" s="1">
        <v>0.1</v>
      </c>
      <c r="H45" s="1">
        <v>23</v>
      </c>
      <c r="I45" s="1">
        <v>1.1251</v>
      </c>
      <c r="K45" s="1">
        <v>4</v>
      </c>
      <c r="L45" s="1">
        <v>0.1</v>
      </c>
      <c r="M45" s="1">
        <v>24.4</v>
      </c>
      <c r="N45" s="1">
        <v>1.0670999999999999</v>
      </c>
      <c r="P45" s="27">
        <f t="shared" si="0"/>
        <v>0.69299999999999995</v>
      </c>
      <c r="Q45" s="27">
        <f t="shared" si="1"/>
        <v>1.1189</v>
      </c>
      <c r="R45" s="27">
        <f t="shared" si="2"/>
        <v>1.518</v>
      </c>
    </row>
    <row r="46" spans="1:18" x14ac:dyDescent="0.2">
      <c r="A46" s="1">
        <v>5</v>
      </c>
      <c r="B46" s="1">
        <v>0.25</v>
      </c>
      <c r="C46" s="1">
        <v>26</v>
      </c>
      <c r="D46" s="1">
        <v>0.88429999999999997</v>
      </c>
      <c r="F46" s="1">
        <v>5</v>
      </c>
      <c r="G46" s="1">
        <v>0.25</v>
      </c>
      <c r="H46" s="1">
        <v>35.1</v>
      </c>
      <c r="I46" s="1">
        <v>1.7471000000000001</v>
      </c>
      <c r="K46" s="1">
        <v>5</v>
      </c>
      <c r="L46" s="1">
        <v>0.25</v>
      </c>
      <c r="M46" s="1">
        <v>35.5</v>
      </c>
      <c r="N46" s="1">
        <v>1.5927</v>
      </c>
      <c r="P46" s="27">
        <f t="shared" si="0"/>
        <v>0.75680000000000003</v>
      </c>
      <c r="Q46" s="27">
        <f t="shared" si="1"/>
        <v>0.60750000000000004</v>
      </c>
      <c r="R46" s="27">
        <f t="shared" si="2"/>
        <v>1.4839</v>
      </c>
    </row>
    <row r="47" spans="1:18" x14ac:dyDescent="0.2">
      <c r="A47" s="1">
        <v>6</v>
      </c>
      <c r="B47" s="1">
        <v>0.1</v>
      </c>
      <c r="C47" s="1">
        <v>19</v>
      </c>
      <c r="D47" s="1">
        <v>0.4627</v>
      </c>
      <c r="F47" s="1">
        <v>6</v>
      </c>
      <c r="G47" s="1">
        <v>0.1</v>
      </c>
      <c r="H47" s="1">
        <v>22.9</v>
      </c>
      <c r="I47" s="1">
        <v>1.1477999999999999</v>
      </c>
      <c r="K47" s="1">
        <v>6</v>
      </c>
      <c r="L47" s="1">
        <v>0.1</v>
      </c>
      <c r="M47" s="1">
        <v>22.5</v>
      </c>
      <c r="N47" s="1">
        <v>0.85489999999999999</v>
      </c>
      <c r="P47" s="27">
        <f t="shared" si="0"/>
        <v>0.59799999999999998</v>
      </c>
      <c r="Q47" s="27">
        <f t="shared" si="1"/>
        <v>0.81379999999999997</v>
      </c>
      <c r="R47" s="27">
        <f t="shared" si="2"/>
        <v>1.3223</v>
      </c>
    </row>
    <row r="48" spans="1:18" x14ac:dyDescent="0.2">
      <c r="A48" s="1">
        <v>7</v>
      </c>
      <c r="B48" s="1">
        <v>0.25</v>
      </c>
      <c r="C48" s="1">
        <v>26.1</v>
      </c>
      <c r="D48" s="1">
        <v>1.1915</v>
      </c>
      <c r="F48" s="1">
        <v>7</v>
      </c>
      <c r="G48" s="1">
        <v>0.25</v>
      </c>
      <c r="H48" s="1">
        <v>31.3</v>
      </c>
      <c r="I48" s="1">
        <v>1.7310000000000001</v>
      </c>
      <c r="K48" s="1">
        <v>7</v>
      </c>
      <c r="L48" s="1">
        <v>0.25</v>
      </c>
      <c r="M48" s="1">
        <v>30.8</v>
      </c>
      <c r="N48" s="1">
        <v>1.2203999999999999</v>
      </c>
      <c r="P48" s="27"/>
      <c r="Q48" s="27">
        <f t="shared" si="1"/>
        <v>1.1251</v>
      </c>
      <c r="R48" s="27">
        <f t="shared" si="2"/>
        <v>1.7471000000000001</v>
      </c>
    </row>
    <row r="49" spans="1:18" x14ac:dyDescent="0.2">
      <c r="A49" s="1">
        <v>8</v>
      </c>
      <c r="B49" s="1">
        <v>0.1</v>
      </c>
      <c r="C49" s="1">
        <v>19</v>
      </c>
      <c r="D49" s="1">
        <v>0.8357</v>
      </c>
      <c r="F49" s="1">
        <v>8</v>
      </c>
      <c r="G49" s="1">
        <v>0.1</v>
      </c>
      <c r="H49" s="1">
        <v>23</v>
      </c>
      <c r="I49" s="1">
        <v>1.2306999999999999</v>
      </c>
      <c r="K49" s="1">
        <v>8</v>
      </c>
      <c r="L49" s="1">
        <v>0.1</v>
      </c>
      <c r="M49" s="1">
        <v>22.6</v>
      </c>
      <c r="N49" s="1">
        <v>0.63260000000000005</v>
      </c>
      <c r="P49" s="27"/>
      <c r="Q49" s="27">
        <f t="shared" si="1"/>
        <v>1.1477999999999999</v>
      </c>
      <c r="R49" s="27">
        <f t="shared" si="2"/>
        <v>1.7310000000000001</v>
      </c>
    </row>
    <row r="50" spans="1:18" x14ac:dyDescent="0.2">
      <c r="A50" s="1">
        <v>9</v>
      </c>
      <c r="B50" s="1">
        <v>0.25</v>
      </c>
      <c r="C50" s="1">
        <v>25.6</v>
      </c>
      <c r="D50" s="1">
        <v>0.60750000000000004</v>
      </c>
      <c r="F50" s="1">
        <v>9</v>
      </c>
      <c r="G50" s="1">
        <v>0.25</v>
      </c>
      <c r="H50" s="1">
        <v>31</v>
      </c>
      <c r="I50" s="1">
        <v>1.5125999999999999</v>
      </c>
      <c r="K50" s="1">
        <v>9</v>
      </c>
      <c r="L50" s="1">
        <v>0.25</v>
      </c>
      <c r="M50" s="1">
        <v>30.5</v>
      </c>
      <c r="N50" s="1">
        <v>1.1698999999999999</v>
      </c>
      <c r="P50" s="27"/>
      <c r="Q50" s="27">
        <f t="shared" si="1"/>
        <v>1.2306999999999999</v>
      </c>
      <c r="R50" s="27">
        <f t="shared" si="2"/>
        <v>1.5125999999999999</v>
      </c>
    </row>
    <row r="51" spans="1:18" x14ac:dyDescent="0.2">
      <c r="A51" s="1">
        <v>10</v>
      </c>
      <c r="B51" s="1">
        <v>0.1</v>
      </c>
      <c r="C51" s="1">
        <v>24.5</v>
      </c>
      <c r="D51" s="1">
        <v>1.1189</v>
      </c>
      <c r="F51" s="1">
        <v>10</v>
      </c>
      <c r="G51" s="1">
        <v>0.1</v>
      </c>
      <c r="H51" s="1">
        <v>29.6</v>
      </c>
      <c r="I51" s="1">
        <v>1.7043999999999999</v>
      </c>
      <c r="K51" s="1">
        <v>10</v>
      </c>
      <c r="L51" s="1">
        <v>0.1</v>
      </c>
      <c r="M51" s="1">
        <v>29.2</v>
      </c>
      <c r="N51" s="1">
        <v>1.1033999999999999</v>
      </c>
      <c r="P51" s="27"/>
      <c r="Q51" s="27">
        <f t="shared" si="1"/>
        <v>1.7043999999999999</v>
      </c>
      <c r="R51" s="27">
        <f t="shared" si="2"/>
        <v>1.7942</v>
      </c>
    </row>
    <row r="52" spans="1:18" x14ac:dyDescent="0.2">
      <c r="A52" s="1">
        <v>11</v>
      </c>
      <c r="B52" s="1">
        <v>0.25</v>
      </c>
      <c r="C52" s="1">
        <v>30.8</v>
      </c>
      <c r="D52" s="1">
        <v>1.518</v>
      </c>
      <c r="F52" s="1">
        <v>11</v>
      </c>
      <c r="G52" s="1">
        <v>0.25</v>
      </c>
      <c r="H52" s="1">
        <v>36.9</v>
      </c>
      <c r="I52" s="1">
        <v>1.7942</v>
      </c>
      <c r="K52" s="1">
        <v>11</v>
      </c>
      <c r="L52" s="1">
        <v>0.25</v>
      </c>
      <c r="M52" s="1">
        <v>36.1</v>
      </c>
      <c r="N52" s="1">
        <v>1.4641999999999999</v>
      </c>
      <c r="P52" s="27"/>
      <c r="Q52" s="27">
        <f t="shared" si="1"/>
        <v>1.35</v>
      </c>
      <c r="R52" s="27">
        <f t="shared" si="2"/>
        <v>2.0055999999999998</v>
      </c>
    </row>
    <row r="53" spans="1:18" x14ac:dyDescent="0.2">
      <c r="A53" s="1">
        <v>12</v>
      </c>
      <c r="B53" s="1">
        <v>0.1</v>
      </c>
      <c r="C53" s="1">
        <v>24.6</v>
      </c>
      <c r="D53" s="1">
        <v>0.60750000000000004</v>
      </c>
      <c r="F53" s="1">
        <v>12</v>
      </c>
      <c r="G53" s="1">
        <v>0.1</v>
      </c>
      <c r="H53" s="1">
        <v>29.5</v>
      </c>
      <c r="I53" s="1">
        <v>1.35</v>
      </c>
      <c r="K53" s="1">
        <v>12</v>
      </c>
      <c r="L53" s="1">
        <v>0.1</v>
      </c>
      <c r="M53" s="1">
        <v>28.9</v>
      </c>
      <c r="N53" s="1">
        <v>1.0248999999999999</v>
      </c>
      <c r="P53" s="27"/>
      <c r="Q53" s="27">
        <f t="shared" si="1"/>
        <v>1.4959</v>
      </c>
      <c r="R53" s="27">
        <f t="shared" si="2"/>
        <v>1.401</v>
      </c>
    </row>
    <row r="54" spans="1:18" x14ac:dyDescent="0.2">
      <c r="A54" s="1">
        <v>13</v>
      </c>
      <c r="B54" s="1">
        <v>0.25</v>
      </c>
      <c r="C54" s="1">
        <v>30.8</v>
      </c>
      <c r="D54" s="1">
        <v>1.4839</v>
      </c>
      <c r="F54" s="1">
        <v>13</v>
      </c>
      <c r="G54" s="1">
        <v>0.25</v>
      </c>
      <c r="H54" s="1">
        <v>36.9</v>
      </c>
      <c r="I54" s="1">
        <v>2.0055999999999998</v>
      </c>
      <c r="K54" s="1">
        <v>13</v>
      </c>
      <c r="L54" s="1">
        <v>0.25</v>
      </c>
      <c r="M54" s="1">
        <v>36.200000000000003</v>
      </c>
      <c r="N54" s="1">
        <v>0.92620000000000002</v>
      </c>
      <c r="P54" s="27"/>
      <c r="Q54" s="27">
        <f t="shared" si="1"/>
        <v>1.0670999999999999</v>
      </c>
      <c r="R54" s="27">
        <f t="shared" si="2"/>
        <v>1.5927</v>
      </c>
    </row>
    <row r="55" spans="1:18" x14ac:dyDescent="0.2">
      <c r="A55" s="1">
        <v>14</v>
      </c>
      <c r="B55" s="1">
        <v>0.1</v>
      </c>
      <c r="C55" s="1">
        <v>24.6</v>
      </c>
      <c r="D55" s="1">
        <v>0.81379999999999997</v>
      </c>
      <c r="F55" s="1">
        <v>14</v>
      </c>
      <c r="G55" s="1">
        <v>0.1</v>
      </c>
      <c r="H55" s="1">
        <v>29.8</v>
      </c>
      <c r="I55" s="1">
        <v>1.4959</v>
      </c>
      <c r="K55" s="1">
        <v>14</v>
      </c>
      <c r="L55" s="1">
        <v>0.1</v>
      </c>
      <c r="M55" s="1">
        <v>29.2</v>
      </c>
      <c r="N55" s="1">
        <v>0.82030000000000003</v>
      </c>
      <c r="P55" s="27"/>
      <c r="Q55" s="27">
        <f t="shared" si="1"/>
        <v>0.85489999999999999</v>
      </c>
      <c r="R55" s="27">
        <f t="shared" si="2"/>
        <v>1.2203999999999999</v>
      </c>
    </row>
    <row r="56" spans="1:18" x14ac:dyDescent="0.2">
      <c r="A56" s="1">
        <v>15</v>
      </c>
      <c r="B56" s="1">
        <v>0.25</v>
      </c>
      <c r="C56" s="1">
        <v>30.4</v>
      </c>
      <c r="D56" s="1">
        <v>1.3223</v>
      </c>
      <c r="F56" s="1">
        <v>15</v>
      </c>
      <c r="G56" s="1">
        <v>0.25</v>
      </c>
      <c r="H56" s="1">
        <v>36.799999999999997</v>
      </c>
      <c r="I56" s="1">
        <v>1.401</v>
      </c>
      <c r="K56" s="1">
        <v>15</v>
      </c>
      <c r="L56" s="1">
        <v>0.25</v>
      </c>
      <c r="M56" s="1">
        <v>35.9</v>
      </c>
      <c r="N56" s="1">
        <v>1.1318999999999999</v>
      </c>
      <c r="P56" s="27"/>
      <c r="Q56" s="27">
        <f t="shared" si="1"/>
        <v>0.63260000000000005</v>
      </c>
      <c r="R56" s="27">
        <f t="shared" si="2"/>
        <v>1.1698999999999999</v>
      </c>
    </row>
    <row r="57" spans="1:18" x14ac:dyDescent="0.2">
      <c r="P57" s="27"/>
      <c r="Q57" s="27">
        <f t="shared" si="1"/>
        <v>1.1033999999999999</v>
      </c>
      <c r="R57" s="27">
        <f t="shared" si="2"/>
        <v>1.4641999999999999</v>
      </c>
    </row>
    <row r="58" spans="1:18" x14ac:dyDescent="0.2">
      <c r="P58" s="27"/>
      <c r="Q58" s="27">
        <f t="shared" si="1"/>
        <v>1.0248999999999999</v>
      </c>
      <c r="R58" s="27">
        <f t="shared" si="2"/>
        <v>0.92620000000000002</v>
      </c>
    </row>
    <row r="59" spans="1:18" x14ac:dyDescent="0.2">
      <c r="P59" s="27"/>
      <c r="Q59" s="27">
        <f t="shared" si="1"/>
        <v>0.82030000000000003</v>
      </c>
      <c r="R59" s="27">
        <f t="shared" si="2"/>
        <v>1.1318999999999999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94D3-D564-4180-85CC-0D4C1BE1798B}">
  <dimension ref="A2:O53"/>
  <sheetViews>
    <sheetView zoomScale="70" zoomScaleNormal="70" workbookViewId="0">
      <selection activeCell="R15" sqref="R15"/>
    </sheetView>
  </sheetViews>
  <sheetFormatPr defaultColWidth="9.14453125" defaultRowHeight="15" x14ac:dyDescent="0.2"/>
  <cols>
    <col min="1" max="1" width="11.703125" style="1" bestFit="1" customWidth="1"/>
    <col min="2" max="2" width="8.60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6.45703125" style="1" bestFit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</row>
    <row r="3" spans="1:15" ht="27.75" x14ac:dyDescent="0.2">
      <c r="A3" s="1" t="s">
        <v>2</v>
      </c>
      <c r="B3" s="1" t="s">
        <v>6</v>
      </c>
      <c r="C3" s="1" t="s">
        <v>7</v>
      </c>
      <c r="E3" s="1" t="s">
        <v>2</v>
      </c>
      <c r="F3" s="1" t="s">
        <v>6</v>
      </c>
      <c r="G3" s="1" t="s">
        <v>7</v>
      </c>
      <c r="I3" s="1" t="s">
        <v>2</v>
      </c>
      <c r="J3" s="1" t="s">
        <v>6</v>
      </c>
      <c r="K3" s="1" t="s">
        <v>7</v>
      </c>
      <c r="M3" s="1" t="s">
        <v>35</v>
      </c>
      <c r="N3" s="1" t="s">
        <v>36</v>
      </c>
      <c r="O3" s="1" t="s">
        <v>37</v>
      </c>
    </row>
    <row r="4" spans="1:15" x14ac:dyDescent="0.2">
      <c r="A4" s="1">
        <v>1</v>
      </c>
      <c r="B4" s="1">
        <f>C39</f>
        <v>61.3</v>
      </c>
      <c r="C4" s="27">
        <f>D39</f>
        <v>6.6299000000000001</v>
      </c>
      <c r="E4" s="1">
        <v>1</v>
      </c>
      <c r="F4" s="1">
        <f>H39</f>
        <v>73</v>
      </c>
      <c r="G4" s="27">
        <f>I39</f>
        <v>9.3462999999999994</v>
      </c>
      <c r="I4" s="1">
        <v>1</v>
      </c>
      <c r="J4" s="1">
        <f>M39</f>
        <v>74.599999999999994</v>
      </c>
      <c r="K4" s="27">
        <f>N39</f>
        <v>9.6692999999999998</v>
      </c>
      <c r="M4" s="27">
        <f>C4</f>
        <v>6.6299000000000001</v>
      </c>
      <c r="N4" s="27">
        <f>G4</f>
        <v>9.3462999999999994</v>
      </c>
      <c r="O4" s="27">
        <f>K4</f>
        <v>9.6692999999999998</v>
      </c>
    </row>
    <row r="5" spans="1:15" x14ac:dyDescent="0.2">
      <c r="A5" s="1">
        <v>2</v>
      </c>
      <c r="B5" s="1">
        <f t="shared" ref="B5:B18" si="0">C40</f>
        <v>20</v>
      </c>
      <c r="C5" s="27">
        <f t="shared" ref="C5:C18" si="1">D40</f>
        <v>1.6811</v>
      </c>
      <c r="E5" s="1">
        <v>2</v>
      </c>
      <c r="F5" s="1">
        <f t="shared" ref="F5:F18" si="2">H40</f>
        <v>16.7</v>
      </c>
      <c r="G5" s="27">
        <f t="shared" ref="G5:G18" si="3">I40</f>
        <v>1.6182000000000001</v>
      </c>
      <c r="I5" s="1">
        <v>2</v>
      </c>
      <c r="J5" s="1">
        <f t="shared" ref="J5:J18" si="4">M40</f>
        <v>18</v>
      </c>
      <c r="K5" s="27">
        <f t="shared" ref="K5:K18" si="5">N40</f>
        <v>1.5726</v>
      </c>
      <c r="M5" s="27">
        <f t="shared" ref="M5:M18" si="6">C5</f>
        <v>1.6811</v>
      </c>
      <c r="N5" s="27">
        <f t="shared" ref="N5:N18" si="7">G5</f>
        <v>1.6182000000000001</v>
      </c>
      <c r="O5" s="27">
        <f t="shared" ref="O5:O18" si="8">K5</f>
        <v>1.5726</v>
      </c>
    </row>
    <row r="6" spans="1:15" x14ac:dyDescent="0.2">
      <c r="A6" s="1">
        <v>3</v>
      </c>
      <c r="B6" s="1">
        <f t="shared" si="0"/>
        <v>25.5</v>
      </c>
      <c r="C6" s="27">
        <f t="shared" si="1"/>
        <v>2.8111999999999999</v>
      </c>
      <c r="E6" s="1">
        <v>3</v>
      </c>
      <c r="F6" s="1">
        <f t="shared" si="2"/>
        <v>24.1</v>
      </c>
      <c r="G6" s="27">
        <f t="shared" si="3"/>
        <v>2.4346999999999999</v>
      </c>
      <c r="I6" s="1">
        <v>3</v>
      </c>
      <c r="J6" s="1">
        <f t="shared" si="4"/>
        <v>26.7</v>
      </c>
      <c r="K6" s="27">
        <f t="shared" si="5"/>
        <v>2.6493000000000002</v>
      </c>
      <c r="M6" s="27">
        <f t="shared" si="6"/>
        <v>2.8111999999999999</v>
      </c>
      <c r="N6" s="27">
        <f t="shared" si="7"/>
        <v>2.4346999999999999</v>
      </c>
      <c r="O6" s="27">
        <f t="shared" si="8"/>
        <v>2.6493000000000002</v>
      </c>
    </row>
    <row r="7" spans="1:15" x14ac:dyDescent="0.2">
      <c r="A7" s="1">
        <v>4</v>
      </c>
      <c r="B7" s="1">
        <f t="shared" si="0"/>
        <v>19.2</v>
      </c>
      <c r="C7" s="27">
        <f t="shared" si="1"/>
        <v>1.335</v>
      </c>
      <c r="E7" s="1">
        <v>4</v>
      </c>
      <c r="F7" s="1">
        <f t="shared" si="2"/>
        <v>23</v>
      </c>
      <c r="G7" s="27">
        <f t="shared" si="3"/>
        <v>1.7476</v>
      </c>
      <c r="I7" s="1">
        <v>4</v>
      </c>
      <c r="J7" s="1">
        <f t="shared" si="4"/>
        <v>24.4</v>
      </c>
      <c r="K7" s="27">
        <f t="shared" si="5"/>
        <v>2.0192000000000001</v>
      </c>
      <c r="M7" s="27">
        <f t="shared" si="6"/>
        <v>1.335</v>
      </c>
      <c r="N7" s="27">
        <f t="shared" si="7"/>
        <v>1.7476</v>
      </c>
      <c r="O7" s="27">
        <f t="shared" si="8"/>
        <v>2.0192000000000001</v>
      </c>
    </row>
    <row r="8" spans="1:15" x14ac:dyDescent="0.2">
      <c r="A8" s="1">
        <v>5</v>
      </c>
      <c r="B8" s="1">
        <f t="shared" si="0"/>
        <v>26</v>
      </c>
      <c r="C8" s="27">
        <f t="shared" si="1"/>
        <v>1.4450000000000001</v>
      </c>
      <c r="E8" s="1">
        <v>5</v>
      </c>
      <c r="F8" s="1">
        <f t="shared" si="2"/>
        <v>35.1</v>
      </c>
      <c r="G8" s="27">
        <f t="shared" si="3"/>
        <v>2.4641999999999999</v>
      </c>
      <c r="I8" s="1">
        <v>5</v>
      </c>
      <c r="J8" s="1">
        <f t="shared" si="4"/>
        <v>35.5</v>
      </c>
      <c r="K8" s="27">
        <f t="shared" si="5"/>
        <v>2.2999999999999998</v>
      </c>
      <c r="M8" s="27">
        <f t="shared" si="6"/>
        <v>1.4450000000000001</v>
      </c>
      <c r="N8" s="27">
        <f t="shared" si="7"/>
        <v>2.4641999999999999</v>
      </c>
      <c r="O8" s="27">
        <f t="shared" si="8"/>
        <v>2.2999999999999998</v>
      </c>
    </row>
    <row r="9" spans="1:15" x14ac:dyDescent="0.2">
      <c r="A9" s="1">
        <v>6</v>
      </c>
      <c r="B9" s="1">
        <f t="shared" si="0"/>
        <v>19</v>
      </c>
      <c r="C9" s="27">
        <f t="shared" si="1"/>
        <v>1.4693000000000001</v>
      </c>
      <c r="E9" s="1">
        <v>6</v>
      </c>
      <c r="F9" s="1">
        <f t="shared" si="2"/>
        <v>22.9</v>
      </c>
      <c r="G9" s="27">
        <f t="shared" si="3"/>
        <v>2.1301999999999999</v>
      </c>
      <c r="I9" s="1">
        <v>6</v>
      </c>
      <c r="J9" s="1">
        <f t="shared" si="4"/>
        <v>22.5</v>
      </c>
      <c r="K9" s="27">
        <f t="shared" si="5"/>
        <v>1.7901</v>
      </c>
      <c r="M9" s="27">
        <f t="shared" si="6"/>
        <v>1.4693000000000001</v>
      </c>
      <c r="N9" s="27">
        <f t="shared" si="7"/>
        <v>2.1301999999999999</v>
      </c>
      <c r="O9" s="27">
        <f t="shared" si="8"/>
        <v>1.7901</v>
      </c>
    </row>
    <row r="10" spans="1:15" x14ac:dyDescent="0.2">
      <c r="A10" s="1">
        <v>7</v>
      </c>
      <c r="B10" s="1">
        <f t="shared" si="0"/>
        <v>26.1</v>
      </c>
      <c r="C10" s="27">
        <f t="shared" si="1"/>
        <v>1.8183</v>
      </c>
      <c r="E10" s="1">
        <v>7</v>
      </c>
      <c r="F10" s="1">
        <f t="shared" si="2"/>
        <v>31.3</v>
      </c>
      <c r="G10" s="27">
        <f t="shared" si="3"/>
        <v>2.6031</v>
      </c>
      <c r="I10" s="1">
        <v>7</v>
      </c>
      <c r="J10" s="1">
        <f t="shared" si="4"/>
        <v>30.8</v>
      </c>
      <c r="K10" s="27">
        <f t="shared" si="5"/>
        <v>2.2187999999999999</v>
      </c>
      <c r="M10" s="27">
        <f t="shared" si="6"/>
        <v>1.8183</v>
      </c>
      <c r="N10" s="27">
        <f t="shared" si="7"/>
        <v>2.6031</v>
      </c>
      <c r="O10" s="27">
        <f t="shared" si="8"/>
        <v>2.2187999999999999</v>
      </c>
    </row>
    <row r="11" spans="1:15" x14ac:dyDescent="0.2">
      <c r="A11" s="1">
        <v>8</v>
      </c>
      <c r="B11" s="1">
        <f t="shared" si="0"/>
        <v>19</v>
      </c>
      <c r="C11" s="27">
        <f t="shared" si="1"/>
        <v>1.4342999999999999</v>
      </c>
      <c r="E11" s="1">
        <v>8</v>
      </c>
      <c r="F11" s="1">
        <f t="shared" si="2"/>
        <v>23</v>
      </c>
      <c r="G11" s="27">
        <f t="shared" si="3"/>
        <v>2.0438000000000001</v>
      </c>
      <c r="I11" s="1">
        <v>8</v>
      </c>
      <c r="J11" s="1">
        <f t="shared" si="4"/>
        <v>22.6</v>
      </c>
      <c r="K11" s="27">
        <f t="shared" si="5"/>
        <v>1.7519</v>
      </c>
      <c r="M11" s="27">
        <f t="shared" si="6"/>
        <v>1.4342999999999999</v>
      </c>
      <c r="N11" s="27">
        <f t="shared" si="7"/>
        <v>2.0438000000000001</v>
      </c>
      <c r="O11" s="27">
        <f t="shared" si="8"/>
        <v>1.7519</v>
      </c>
    </row>
    <row r="12" spans="1:15" x14ac:dyDescent="0.2">
      <c r="A12" s="1">
        <v>9</v>
      </c>
      <c r="B12" s="1">
        <f t="shared" si="0"/>
        <v>25.6</v>
      </c>
      <c r="C12" s="27">
        <f t="shared" si="1"/>
        <v>1.5629</v>
      </c>
      <c r="E12" s="1">
        <v>9</v>
      </c>
      <c r="F12" s="1">
        <f t="shared" si="2"/>
        <v>31</v>
      </c>
      <c r="G12" s="27">
        <f t="shared" si="3"/>
        <v>2.3403999999999998</v>
      </c>
      <c r="I12" s="1">
        <v>9</v>
      </c>
      <c r="J12" s="1">
        <f t="shared" si="4"/>
        <v>30.5</v>
      </c>
      <c r="K12" s="27">
        <f t="shared" si="5"/>
        <v>2.1164000000000001</v>
      </c>
      <c r="M12" s="27">
        <f t="shared" si="6"/>
        <v>1.5629</v>
      </c>
      <c r="N12" s="27">
        <f t="shared" si="7"/>
        <v>2.3403999999999998</v>
      </c>
      <c r="O12" s="27">
        <f t="shared" si="8"/>
        <v>2.1164000000000001</v>
      </c>
    </row>
    <row r="13" spans="1:15" x14ac:dyDescent="0.2">
      <c r="A13" s="1">
        <v>10</v>
      </c>
      <c r="B13" s="1">
        <f t="shared" si="0"/>
        <v>24.5</v>
      </c>
      <c r="C13" s="27">
        <f t="shared" si="1"/>
        <v>1.8508</v>
      </c>
      <c r="E13" s="1">
        <v>10</v>
      </c>
      <c r="F13" s="1">
        <f t="shared" si="2"/>
        <v>29.6</v>
      </c>
      <c r="G13" s="27">
        <f t="shared" si="3"/>
        <v>2.8334000000000001</v>
      </c>
      <c r="I13" s="1">
        <v>10</v>
      </c>
      <c r="J13" s="1">
        <f t="shared" si="4"/>
        <v>29.2</v>
      </c>
      <c r="K13" s="27">
        <f t="shared" si="5"/>
        <v>2.3268</v>
      </c>
      <c r="M13" s="27">
        <f t="shared" si="6"/>
        <v>1.8508</v>
      </c>
      <c r="N13" s="27">
        <f t="shared" si="7"/>
        <v>2.8334000000000001</v>
      </c>
      <c r="O13" s="27">
        <f t="shared" si="8"/>
        <v>2.3268</v>
      </c>
    </row>
    <row r="14" spans="1:15" x14ac:dyDescent="0.2">
      <c r="A14" s="1">
        <v>11</v>
      </c>
      <c r="B14" s="1">
        <f t="shared" si="0"/>
        <v>30.8</v>
      </c>
      <c r="C14" s="27">
        <f t="shared" si="1"/>
        <v>2.1374</v>
      </c>
      <c r="E14" s="1">
        <v>11</v>
      </c>
      <c r="F14" s="1">
        <f t="shared" si="2"/>
        <v>36.9</v>
      </c>
      <c r="G14" s="27">
        <f t="shared" si="3"/>
        <v>2.8868</v>
      </c>
      <c r="I14" s="1">
        <v>11</v>
      </c>
      <c r="J14" s="1">
        <f t="shared" si="4"/>
        <v>36.1</v>
      </c>
      <c r="K14" s="27">
        <f t="shared" si="5"/>
        <v>2.5102000000000002</v>
      </c>
      <c r="M14" s="27">
        <f t="shared" si="6"/>
        <v>2.1374</v>
      </c>
      <c r="N14" s="27">
        <f t="shared" si="7"/>
        <v>2.8868</v>
      </c>
      <c r="O14" s="27">
        <f t="shared" si="8"/>
        <v>2.5102000000000002</v>
      </c>
    </row>
    <row r="15" spans="1:15" x14ac:dyDescent="0.2">
      <c r="A15" s="1">
        <v>12</v>
      </c>
      <c r="B15" s="1">
        <f t="shared" si="0"/>
        <v>24.6</v>
      </c>
      <c r="C15" s="27">
        <f t="shared" si="1"/>
        <v>2.0701999999999998</v>
      </c>
      <c r="E15" s="1">
        <v>12</v>
      </c>
      <c r="F15" s="1">
        <f t="shared" si="2"/>
        <v>29.5</v>
      </c>
      <c r="G15" s="27">
        <f t="shared" si="3"/>
        <v>2.8893</v>
      </c>
      <c r="I15" s="1">
        <v>12</v>
      </c>
      <c r="J15" s="1">
        <f t="shared" si="4"/>
        <v>28.9</v>
      </c>
      <c r="K15" s="27">
        <f t="shared" si="5"/>
        <v>2.5668000000000002</v>
      </c>
      <c r="M15" s="27">
        <f t="shared" si="6"/>
        <v>2.0701999999999998</v>
      </c>
      <c r="N15" s="27">
        <f t="shared" si="7"/>
        <v>2.8893</v>
      </c>
      <c r="O15" s="27">
        <f t="shared" si="8"/>
        <v>2.5668000000000002</v>
      </c>
    </row>
    <row r="16" spans="1:15" x14ac:dyDescent="0.2">
      <c r="A16" s="1">
        <v>13</v>
      </c>
      <c r="B16" s="1">
        <f t="shared" si="0"/>
        <v>30.8</v>
      </c>
      <c r="C16" s="27">
        <f t="shared" si="1"/>
        <v>2.3704999999999998</v>
      </c>
      <c r="E16" s="1">
        <v>13</v>
      </c>
      <c r="F16" s="1">
        <f t="shared" si="2"/>
        <v>36.9</v>
      </c>
      <c r="G16" s="27">
        <f t="shared" si="3"/>
        <v>3.2658</v>
      </c>
      <c r="I16" s="1">
        <v>13</v>
      </c>
      <c r="J16" s="1">
        <f t="shared" si="4"/>
        <v>36.200000000000003</v>
      </c>
      <c r="K16" s="27">
        <f t="shared" si="5"/>
        <v>2.9683999999999999</v>
      </c>
      <c r="M16" s="27">
        <f t="shared" si="6"/>
        <v>2.3704999999999998</v>
      </c>
      <c r="N16" s="27">
        <f t="shared" si="7"/>
        <v>3.2658</v>
      </c>
      <c r="O16" s="27">
        <f t="shared" si="8"/>
        <v>2.9683999999999999</v>
      </c>
    </row>
    <row r="17" spans="1:15" x14ac:dyDescent="0.2">
      <c r="A17" s="1">
        <v>14</v>
      </c>
      <c r="B17" s="1">
        <f t="shared" si="0"/>
        <v>24.6</v>
      </c>
      <c r="C17" s="27">
        <f t="shared" si="1"/>
        <v>1.8688</v>
      </c>
      <c r="E17" s="1">
        <v>14</v>
      </c>
      <c r="F17" s="1">
        <f t="shared" si="2"/>
        <v>29.8</v>
      </c>
      <c r="G17" s="27">
        <f t="shared" si="3"/>
        <v>2.6368</v>
      </c>
      <c r="I17" s="1">
        <v>14</v>
      </c>
      <c r="J17" s="1">
        <f t="shared" si="4"/>
        <v>29.2</v>
      </c>
      <c r="K17" s="27">
        <f t="shared" si="5"/>
        <v>2.4034</v>
      </c>
      <c r="M17" s="27">
        <f t="shared" si="6"/>
        <v>1.8688</v>
      </c>
      <c r="N17" s="27">
        <f t="shared" si="7"/>
        <v>2.6368</v>
      </c>
      <c r="O17" s="27">
        <f t="shared" si="8"/>
        <v>2.4034</v>
      </c>
    </row>
    <row r="18" spans="1:15" x14ac:dyDescent="0.2">
      <c r="A18" s="1">
        <v>15</v>
      </c>
      <c r="B18" s="1">
        <f t="shared" si="0"/>
        <v>30.4</v>
      </c>
      <c r="C18" s="27">
        <f t="shared" si="1"/>
        <v>2.1360999999999999</v>
      </c>
      <c r="E18" s="1">
        <v>15</v>
      </c>
      <c r="F18" s="1">
        <f t="shared" si="2"/>
        <v>36.799999999999997</v>
      </c>
      <c r="G18" s="27">
        <f t="shared" si="3"/>
        <v>3.1633</v>
      </c>
      <c r="I18" s="1">
        <v>15</v>
      </c>
      <c r="J18" s="1">
        <f t="shared" si="4"/>
        <v>35.9</v>
      </c>
      <c r="K18" s="27">
        <f t="shared" si="5"/>
        <v>2.6421999999999999</v>
      </c>
      <c r="M18" s="27">
        <f t="shared" si="6"/>
        <v>2.1360999999999999</v>
      </c>
      <c r="N18" s="27">
        <f t="shared" si="7"/>
        <v>3.1633</v>
      </c>
      <c r="O18" s="27">
        <f t="shared" si="8"/>
        <v>2.6421999999999999</v>
      </c>
    </row>
    <row r="19" spans="1:15" ht="41.25" x14ac:dyDescent="0.2">
      <c r="A19" s="1" t="s">
        <v>38</v>
      </c>
      <c r="B19" s="1" t="s">
        <v>39</v>
      </c>
      <c r="C19" s="27"/>
      <c r="G19" s="27"/>
      <c r="K19" s="27"/>
    </row>
    <row r="20" spans="1:15" x14ac:dyDescent="0.2">
      <c r="A20" s="1" t="s">
        <v>35</v>
      </c>
      <c r="B20" s="27">
        <f>AVERAGE(C4:C18)</f>
        <v>2.1747200000000002</v>
      </c>
    </row>
    <row r="21" spans="1:15" x14ac:dyDescent="0.2">
      <c r="A21" s="1" t="s">
        <v>36</v>
      </c>
      <c r="B21" s="27">
        <f>AVERAGE(G4:G18)</f>
        <v>2.9602599999999994</v>
      </c>
    </row>
    <row r="22" spans="1:15" x14ac:dyDescent="0.2">
      <c r="A22" s="1" t="s">
        <v>37</v>
      </c>
      <c r="B22" s="27">
        <f>AVERAGE(K4:K18)</f>
        <v>2.7670266666666663</v>
      </c>
    </row>
    <row r="24" spans="1:15" ht="27.75" x14ac:dyDescent="0.2">
      <c r="A24" s="1" t="s">
        <v>40</v>
      </c>
      <c r="B24" s="79">
        <f>(1-B20/B21)</f>
        <v>0.26536182632606575</v>
      </c>
    </row>
    <row r="37" spans="1:14" x14ac:dyDescent="0.2">
      <c r="A37" s="1" t="s">
        <v>35</v>
      </c>
      <c r="F37" s="1" t="s">
        <v>36</v>
      </c>
      <c r="K37" s="1" t="s">
        <v>37</v>
      </c>
    </row>
    <row r="38" spans="1:14" ht="54.75" x14ac:dyDescent="0.2">
      <c r="A38" s="1" t="s">
        <v>2</v>
      </c>
      <c r="B38" s="1" t="s">
        <v>3</v>
      </c>
      <c r="C38" s="1" t="s">
        <v>6</v>
      </c>
      <c r="D38" s="1" t="s">
        <v>7</v>
      </c>
      <c r="F38" s="1" t="s">
        <v>2</v>
      </c>
      <c r="G38" s="1" t="s">
        <v>3</v>
      </c>
      <c r="H38" s="1" t="s">
        <v>6</v>
      </c>
      <c r="I38" s="1" t="s">
        <v>7</v>
      </c>
      <c r="K38" s="1" t="s">
        <v>2</v>
      </c>
      <c r="L38" s="1" t="s">
        <v>3</v>
      </c>
      <c r="M38" s="1" t="s">
        <v>6</v>
      </c>
      <c r="N38" s="1" t="s">
        <v>7</v>
      </c>
    </row>
    <row r="39" spans="1:14" x14ac:dyDescent="0.2">
      <c r="A39" s="1">
        <v>1</v>
      </c>
      <c r="B39" s="1" t="s">
        <v>15</v>
      </c>
      <c r="C39" s="1">
        <v>61.3</v>
      </c>
      <c r="D39" s="1">
        <v>6.6299000000000001</v>
      </c>
      <c r="F39" s="1">
        <v>1</v>
      </c>
      <c r="G39" s="1" t="s">
        <v>15</v>
      </c>
      <c r="H39" s="1">
        <v>73</v>
      </c>
      <c r="I39" s="1">
        <v>9.3462999999999994</v>
      </c>
      <c r="K39" s="1">
        <v>1</v>
      </c>
      <c r="L39" s="1" t="s">
        <v>15</v>
      </c>
      <c r="M39" s="1">
        <v>74.599999999999994</v>
      </c>
      <c r="N39" s="1">
        <v>9.6692999999999998</v>
      </c>
    </row>
    <row r="40" spans="1:14" x14ac:dyDescent="0.2">
      <c r="A40" s="1">
        <v>2</v>
      </c>
      <c r="B40" s="1" t="s">
        <v>15</v>
      </c>
      <c r="C40" s="1">
        <v>20</v>
      </c>
      <c r="D40" s="1">
        <v>1.6811</v>
      </c>
      <c r="F40" s="1">
        <v>2</v>
      </c>
      <c r="G40" s="1" t="s">
        <v>15</v>
      </c>
      <c r="H40" s="1">
        <v>16.7</v>
      </c>
      <c r="I40" s="1">
        <v>1.6182000000000001</v>
      </c>
      <c r="K40" s="1">
        <v>2</v>
      </c>
      <c r="L40" s="1" t="s">
        <v>15</v>
      </c>
      <c r="M40" s="1">
        <v>18</v>
      </c>
      <c r="N40" s="1">
        <v>1.5726</v>
      </c>
    </row>
    <row r="41" spans="1:14" x14ac:dyDescent="0.2">
      <c r="A41" s="1">
        <v>3</v>
      </c>
      <c r="B41" s="1" t="s">
        <v>15</v>
      </c>
      <c r="C41" s="1">
        <v>25.5</v>
      </c>
      <c r="D41" s="1">
        <v>2.8111999999999999</v>
      </c>
      <c r="F41" s="1">
        <v>3</v>
      </c>
      <c r="G41" s="1" t="s">
        <v>15</v>
      </c>
      <c r="H41" s="1">
        <v>24.1</v>
      </c>
      <c r="I41" s="1">
        <v>2.4346999999999999</v>
      </c>
      <c r="K41" s="1">
        <v>3</v>
      </c>
      <c r="L41" s="1" t="s">
        <v>15</v>
      </c>
      <c r="M41" s="1">
        <v>26.7</v>
      </c>
      <c r="N41" s="1">
        <v>2.6493000000000002</v>
      </c>
    </row>
    <row r="42" spans="1:14" x14ac:dyDescent="0.2">
      <c r="A42" s="1">
        <v>4</v>
      </c>
      <c r="B42" s="1" t="s">
        <v>17</v>
      </c>
      <c r="C42" s="1">
        <v>19.2</v>
      </c>
      <c r="D42" s="1">
        <v>1.335</v>
      </c>
      <c r="F42" s="1">
        <v>4</v>
      </c>
      <c r="G42" s="1" t="s">
        <v>17</v>
      </c>
      <c r="H42" s="1">
        <v>23</v>
      </c>
      <c r="I42" s="1">
        <v>1.7476</v>
      </c>
      <c r="K42" s="1">
        <v>4</v>
      </c>
      <c r="L42" s="1" t="s">
        <v>17</v>
      </c>
      <c r="M42" s="1">
        <v>24.4</v>
      </c>
      <c r="N42" s="1">
        <v>2.0192000000000001</v>
      </c>
    </row>
    <row r="43" spans="1:14" x14ac:dyDescent="0.2">
      <c r="A43" s="1">
        <v>5</v>
      </c>
      <c r="B43" s="1" t="s">
        <v>17</v>
      </c>
      <c r="C43" s="1">
        <v>26</v>
      </c>
      <c r="D43" s="1">
        <v>1.4450000000000001</v>
      </c>
      <c r="F43" s="1">
        <v>5</v>
      </c>
      <c r="G43" s="1" t="s">
        <v>17</v>
      </c>
      <c r="H43" s="1">
        <v>35.1</v>
      </c>
      <c r="I43" s="1">
        <v>2.4641999999999999</v>
      </c>
      <c r="K43" s="1">
        <v>5</v>
      </c>
      <c r="L43" s="1" t="s">
        <v>17</v>
      </c>
      <c r="M43" s="1">
        <v>35.5</v>
      </c>
      <c r="N43" s="1">
        <v>2.2999999999999998</v>
      </c>
    </row>
    <row r="44" spans="1:14" x14ac:dyDescent="0.2">
      <c r="A44" s="1">
        <v>6</v>
      </c>
      <c r="B44" s="1" t="s">
        <v>18</v>
      </c>
      <c r="C44" s="1">
        <v>19</v>
      </c>
      <c r="D44" s="1">
        <v>1.4693000000000001</v>
      </c>
      <c r="F44" s="1">
        <v>6</v>
      </c>
      <c r="G44" s="1" t="s">
        <v>18</v>
      </c>
      <c r="H44" s="1">
        <v>22.9</v>
      </c>
      <c r="I44" s="1">
        <v>2.1301999999999999</v>
      </c>
      <c r="K44" s="1">
        <v>6</v>
      </c>
      <c r="L44" s="1" t="s">
        <v>18</v>
      </c>
      <c r="M44" s="1">
        <v>22.5</v>
      </c>
      <c r="N44" s="1">
        <v>1.7901</v>
      </c>
    </row>
    <row r="45" spans="1:14" x14ac:dyDescent="0.2">
      <c r="A45" s="1">
        <v>7</v>
      </c>
      <c r="B45" s="1" t="s">
        <v>18</v>
      </c>
      <c r="C45" s="1">
        <v>26.1</v>
      </c>
      <c r="D45" s="1">
        <v>1.8183</v>
      </c>
      <c r="F45" s="1">
        <v>7</v>
      </c>
      <c r="G45" s="1" t="s">
        <v>18</v>
      </c>
      <c r="H45" s="1">
        <v>31.3</v>
      </c>
      <c r="I45" s="1">
        <v>2.6031</v>
      </c>
      <c r="K45" s="1">
        <v>7</v>
      </c>
      <c r="L45" s="1" t="s">
        <v>18</v>
      </c>
      <c r="M45" s="1">
        <v>30.8</v>
      </c>
      <c r="N45" s="1">
        <v>2.2187999999999999</v>
      </c>
    </row>
    <row r="46" spans="1:14" x14ac:dyDescent="0.2">
      <c r="A46" s="1">
        <v>8</v>
      </c>
      <c r="B46" s="1" t="s">
        <v>19</v>
      </c>
      <c r="C46" s="1">
        <v>19</v>
      </c>
      <c r="D46" s="1">
        <v>1.4342999999999999</v>
      </c>
      <c r="F46" s="1">
        <v>8</v>
      </c>
      <c r="G46" s="1" t="s">
        <v>19</v>
      </c>
      <c r="H46" s="1">
        <v>23</v>
      </c>
      <c r="I46" s="1">
        <v>2.0438000000000001</v>
      </c>
      <c r="K46" s="1">
        <v>8</v>
      </c>
      <c r="L46" s="1" t="s">
        <v>19</v>
      </c>
      <c r="M46" s="1">
        <v>22.6</v>
      </c>
      <c r="N46" s="1">
        <v>1.7519</v>
      </c>
    </row>
    <row r="47" spans="1:14" x14ac:dyDescent="0.2">
      <c r="A47" s="1">
        <v>9</v>
      </c>
      <c r="B47" s="1" t="s">
        <v>19</v>
      </c>
      <c r="C47" s="1">
        <v>25.6</v>
      </c>
      <c r="D47" s="1">
        <v>1.5629</v>
      </c>
      <c r="F47" s="1">
        <v>9</v>
      </c>
      <c r="G47" s="1" t="s">
        <v>19</v>
      </c>
      <c r="H47" s="1">
        <v>31</v>
      </c>
      <c r="I47" s="1">
        <v>2.3403999999999998</v>
      </c>
      <c r="K47" s="1">
        <v>9</v>
      </c>
      <c r="L47" s="1" t="s">
        <v>19</v>
      </c>
      <c r="M47" s="1">
        <v>30.5</v>
      </c>
      <c r="N47" s="1">
        <v>2.1164000000000001</v>
      </c>
    </row>
    <row r="48" spans="1:14" x14ac:dyDescent="0.2">
      <c r="A48" s="1">
        <v>10</v>
      </c>
      <c r="B48" s="1" t="s">
        <v>17</v>
      </c>
      <c r="C48" s="1">
        <v>24.5</v>
      </c>
      <c r="D48" s="1">
        <v>1.8508</v>
      </c>
      <c r="F48" s="1">
        <v>10</v>
      </c>
      <c r="G48" s="1" t="s">
        <v>17</v>
      </c>
      <c r="H48" s="1">
        <v>29.6</v>
      </c>
      <c r="I48" s="1">
        <v>2.8334000000000001</v>
      </c>
      <c r="K48" s="1">
        <v>10</v>
      </c>
      <c r="L48" s="1" t="s">
        <v>17</v>
      </c>
      <c r="M48" s="1">
        <v>29.2</v>
      </c>
      <c r="N48" s="1">
        <v>2.3268</v>
      </c>
    </row>
    <row r="49" spans="1:14" x14ac:dyDescent="0.2">
      <c r="A49" s="1">
        <v>11</v>
      </c>
      <c r="B49" s="1" t="s">
        <v>17</v>
      </c>
      <c r="C49" s="1">
        <v>30.8</v>
      </c>
      <c r="D49" s="1">
        <v>2.1374</v>
      </c>
      <c r="F49" s="1">
        <v>11</v>
      </c>
      <c r="G49" s="1" t="s">
        <v>17</v>
      </c>
      <c r="H49" s="1">
        <v>36.9</v>
      </c>
      <c r="I49" s="1">
        <v>2.8868</v>
      </c>
      <c r="K49" s="1">
        <v>11</v>
      </c>
      <c r="L49" s="1" t="s">
        <v>17</v>
      </c>
      <c r="M49" s="1">
        <v>36.1</v>
      </c>
      <c r="N49" s="1">
        <v>2.5102000000000002</v>
      </c>
    </row>
    <row r="50" spans="1:14" x14ac:dyDescent="0.2">
      <c r="A50" s="1">
        <v>12</v>
      </c>
      <c r="B50" s="1" t="s">
        <v>18</v>
      </c>
      <c r="C50" s="1">
        <v>24.6</v>
      </c>
      <c r="D50" s="1">
        <v>2.0701999999999998</v>
      </c>
      <c r="F50" s="1">
        <v>12</v>
      </c>
      <c r="G50" s="1" t="s">
        <v>18</v>
      </c>
      <c r="H50" s="1">
        <v>29.5</v>
      </c>
      <c r="I50" s="1">
        <v>2.8893</v>
      </c>
      <c r="K50" s="1">
        <v>12</v>
      </c>
      <c r="L50" s="1" t="s">
        <v>18</v>
      </c>
      <c r="M50" s="1">
        <v>28.9</v>
      </c>
      <c r="N50" s="1">
        <v>2.5668000000000002</v>
      </c>
    </row>
    <row r="51" spans="1:14" x14ac:dyDescent="0.2">
      <c r="A51" s="1">
        <v>13</v>
      </c>
      <c r="B51" s="1" t="s">
        <v>18</v>
      </c>
      <c r="C51" s="1">
        <v>30.8</v>
      </c>
      <c r="D51" s="1">
        <v>2.3704999999999998</v>
      </c>
      <c r="F51" s="1">
        <v>13</v>
      </c>
      <c r="G51" s="1" t="s">
        <v>18</v>
      </c>
      <c r="H51" s="1">
        <v>36.9</v>
      </c>
      <c r="I51" s="1">
        <v>3.2658</v>
      </c>
      <c r="K51" s="1">
        <v>13</v>
      </c>
      <c r="L51" s="1" t="s">
        <v>18</v>
      </c>
      <c r="M51" s="1">
        <v>36.200000000000003</v>
      </c>
      <c r="N51" s="1">
        <v>2.9683999999999999</v>
      </c>
    </row>
    <row r="52" spans="1:14" x14ac:dyDescent="0.2">
      <c r="A52" s="1">
        <v>14</v>
      </c>
      <c r="B52" s="1" t="s">
        <v>19</v>
      </c>
      <c r="C52" s="1">
        <v>24.6</v>
      </c>
      <c r="D52" s="1">
        <v>1.8688</v>
      </c>
      <c r="F52" s="1">
        <v>14</v>
      </c>
      <c r="G52" s="1" t="s">
        <v>19</v>
      </c>
      <c r="H52" s="1">
        <v>29.8</v>
      </c>
      <c r="I52" s="1">
        <v>2.6368</v>
      </c>
      <c r="K52" s="1">
        <v>14</v>
      </c>
      <c r="L52" s="1" t="s">
        <v>19</v>
      </c>
      <c r="M52" s="1">
        <v>29.2</v>
      </c>
      <c r="N52" s="1">
        <v>2.4034</v>
      </c>
    </row>
    <row r="53" spans="1:14" x14ac:dyDescent="0.2">
      <c r="A53" s="1">
        <v>15</v>
      </c>
      <c r="B53" s="1" t="s">
        <v>19</v>
      </c>
      <c r="C53" s="1">
        <v>30.4</v>
      </c>
      <c r="D53" s="1">
        <v>2.1360999999999999</v>
      </c>
      <c r="F53" s="1">
        <v>15</v>
      </c>
      <c r="G53" s="1" t="s">
        <v>19</v>
      </c>
      <c r="H53" s="1">
        <v>36.799999999999997</v>
      </c>
      <c r="I53" s="1">
        <v>3.1633</v>
      </c>
      <c r="K53" s="1">
        <v>15</v>
      </c>
      <c r="L53" s="1" t="s">
        <v>19</v>
      </c>
      <c r="M53" s="1">
        <v>35.9</v>
      </c>
      <c r="N53" s="1">
        <v>2.6421999999999999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4CE-5932-4707-87CB-E47AEB39CD5A}">
  <dimension ref="A2:O53"/>
  <sheetViews>
    <sheetView zoomScale="70" zoomScaleNormal="70" workbookViewId="0">
      <selection activeCell="B25" sqref="B25"/>
    </sheetView>
  </sheetViews>
  <sheetFormatPr defaultColWidth="9.14453125" defaultRowHeight="15" x14ac:dyDescent="0.2"/>
  <cols>
    <col min="1" max="1" width="11.703125" style="1" bestFit="1" customWidth="1"/>
    <col min="2" max="2" width="10.085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7.8007812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</row>
    <row r="3" spans="1:15" ht="27.75" x14ac:dyDescent="0.2">
      <c r="A3" s="1" t="s">
        <v>2</v>
      </c>
      <c r="B3" s="1" t="s">
        <v>6</v>
      </c>
      <c r="C3" s="1" t="s">
        <v>8</v>
      </c>
      <c r="E3" s="1" t="s">
        <v>2</v>
      </c>
      <c r="F3" s="1" t="s">
        <v>6</v>
      </c>
      <c r="G3" s="1" t="s">
        <v>8</v>
      </c>
      <c r="I3" s="1" t="s">
        <v>2</v>
      </c>
      <c r="J3" s="1" t="s">
        <v>6</v>
      </c>
      <c r="K3" s="1" t="s">
        <v>8</v>
      </c>
      <c r="M3" s="1" t="s">
        <v>35</v>
      </c>
      <c r="N3" s="1" t="s">
        <v>36</v>
      </c>
      <c r="O3" s="1" t="s">
        <v>37</v>
      </c>
    </row>
    <row r="4" spans="1:15" x14ac:dyDescent="0.2">
      <c r="A4" s="1">
        <v>1</v>
      </c>
      <c r="B4" s="1">
        <f>C39</f>
        <v>61.3</v>
      </c>
      <c r="C4" s="27">
        <f>D39</f>
        <v>823.48</v>
      </c>
      <c r="E4" s="1">
        <v>1</v>
      </c>
      <c r="F4" s="1">
        <f>H39</f>
        <v>73</v>
      </c>
      <c r="G4" s="27">
        <f>I39</f>
        <v>1280.8800000000001</v>
      </c>
      <c r="I4" s="1">
        <v>1</v>
      </c>
      <c r="J4" s="1">
        <f>M39</f>
        <v>74.599999999999994</v>
      </c>
      <c r="K4" s="27">
        <f>N39</f>
        <v>713.07</v>
      </c>
      <c r="M4" s="27">
        <f>C4</f>
        <v>823.48</v>
      </c>
      <c r="N4" s="27">
        <f>G4</f>
        <v>1280.8800000000001</v>
      </c>
      <c r="O4" s="27">
        <f>K4</f>
        <v>713.07</v>
      </c>
    </row>
    <row r="5" spans="1:15" x14ac:dyDescent="0.2">
      <c r="A5" s="1">
        <v>2</v>
      </c>
      <c r="B5" s="1">
        <f t="shared" ref="B5:C18" si="0">C40</f>
        <v>20</v>
      </c>
      <c r="C5" s="27">
        <f t="shared" si="0"/>
        <v>268.27</v>
      </c>
      <c r="E5" s="1">
        <v>2</v>
      </c>
      <c r="F5" s="1">
        <f t="shared" ref="F5:G18" si="1">H40</f>
        <v>16.7</v>
      </c>
      <c r="G5" s="27">
        <f t="shared" si="1"/>
        <v>211.47</v>
      </c>
      <c r="I5" s="1">
        <v>2</v>
      </c>
      <c r="J5" s="1">
        <f t="shared" ref="J5:K18" si="2">M40</f>
        <v>18</v>
      </c>
      <c r="K5" s="27">
        <f t="shared" si="2"/>
        <v>121.17</v>
      </c>
      <c r="M5" s="27">
        <f t="shared" ref="M5:M18" si="3">C5</f>
        <v>268.27</v>
      </c>
      <c r="N5" s="27">
        <f t="shared" ref="N5:N18" si="4">G5</f>
        <v>211.47</v>
      </c>
      <c r="O5" s="27">
        <f t="shared" ref="O5:O18" si="5">K5</f>
        <v>121.17</v>
      </c>
    </row>
    <row r="6" spans="1:15" x14ac:dyDescent="0.2">
      <c r="A6" s="1">
        <v>3</v>
      </c>
      <c r="B6" s="1">
        <f t="shared" si="0"/>
        <v>25.5</v>
      </c>
      <c r="C6" s="27">
        <f t="shared" si="0"/>
        <v>388.75</v>
      </c>
      <c r="E6" s="1">
        <v>3</v>
      </c>
      <c r="F6" s="1">
        <f t="shared" si="1"/>
        <v>24.1</v>
      </c>
      <c r="G6" s="27">
        <f t="shared" si="1"/>
        <v>354.94</v>
      </c>
      <c r="I6" s="1">
        <v>3</v>
      </c>
      <c r="J6" s="1">
        <f t="shared" si="2"/>
        <v>26.7</v>
      </c>
      <c r="K6" s="27">
        <f t="shared" si="2"/>
        <v>228.77</v>
      </c>
      <c r="M6" s="27">
        <f t="shared" si="3"/>
        <v>388.75</v>
      </c>
      <c r="N6" s="27">
        <f t="shared" si="4"/>
        <v>354.94</v>
      </c>
      <c r="O6" s="27">
        <f t="shared" si="5"/>
        <v>228.77</v>
      </c>
    </row>
    <row r="7" spans="1:15" x14ac:dyDescent="0.2">
      <c r="A7" s="1">
        <v>4</v>
      </c>
      <c r="B7" s="1">
        <f t="shared" si="0"/>
        <v>19.2</v>
      </c>
      <c r="C7" s="27">
        <f t="shared" si="0"/>
        <v>205.66</v>
      </c>
      <c r="E7" s="1">
        <v>4</v>
      </c>
      <c r="F7" s="1">
        <f t="shared" si="1"/>
        <v>23</v>
      </c>
      <c r="G7" s="27">
        <f t="shared" si="1"/>
        <v>254.67</v>
      </c>
      <c r="I7" s="1">
        <v>4</v>
      </c>
      <c r="J7" s="1">
        <f t="shared" si="2"/>
        <v>24.4</v>
      </c>
      <c r="K7" s="27">
        <f t="shared" si="2"/>
        <v>176.33</v>
      </c>
      <c r="M7" s="27">
        <f t="shared" si="3"/>
        <v>205.66</v>
      </c>
      <c r="N7" s="27">
        <f t="shared" si="4"/>
        <v>254.67</v>
      </c>
      <c r="O7" s="27">
        <f t="shared" si="5"/>
        <v>176.33</v>
      </c>
    </row>
    <row r="8" spans="1:15" x14ac:dyDescent="0.2">
      <c r="A8" s="1">
        <v>5</v>
      </c>
      <c r="B8" s="1">
        <f t="shared" si="0"/>
        <v>26</v>
      </c>
      <c r="C8" s="27">
        <f t="shared" si="0"/>
        <v>201.67</v>
      </c>
      <c r="E8" s="1">
        <v>5</v>
      </c>
      <c r="F8" s="1">
        <f t="shared" si="1"/>
        <v>35.1</v>
      </c>
      <c r="G8" s="27">
        <f t="shared" si="1"/>
        <v>369.98</v>
      </c>
      <c r="I8" s="1">
        <v>5</v>
      </c>
      <c r="J8" s="1">
        <f t="shared" si="2"/>
        <v>35.5</v>
      </c>
      <c r="K8" s="27">
        <f t="shared" si="2"/>
        <v>198.2</v>
      </c>
      <c r="M8" s="27">
        <f t="shared" si="3"/>
        <v>201.67</v>
      </c>
      <c r="N8" s="27">
        <f t="shared" si="4"/>
        <v>369.98</v>
      </c>
      <c r="O8" s="27">
        <f t="shared" si="5"/>
        <v>198.2</v>
      </c>
    </row>
    <row r="9" spans="1:15" x14ac:dyDescent="0.2">
      <c r="A9" s="1">
        <v>6</v>
      </c>
      <c r="B9" s="1">
        <f t="shared" si="0"/>
        <v>19</v>
      </c>
      <c r="C9" s="27">
        <f t="shared" si="0"/>
        <v>227.06</v>
      </c>
      <c r="E9" s="1">
        <v>6</v>
      </c>
      <c r="F9" s="1">
        <f t="shared" si="1"/>
        <v>22.9</v>
      </c>
      <c r="G9" s="27">
        <f t="shared" si="1"/>
        <v>319.06</v>
      </c>
      <c r="I9" s="1">
        <v>6</v>
      </c>
      <c r="J9" s="1">
        <f t="shared" si="2"/>
        <v>22.5</v>
      </c>
      <c r="K9" s="27">
        <f t="shared" si="2"/>
        <v>162.5</v>
      </c>
      <c r="M9" s="27">
        <f t="shared" si="3"/>
        <v>227.06</v>
      </c>
      <c r="N9" s="27">
        <f t="shared" si="4"/>
        <v>319.06</v>
      </c>
      <c r="O9" s="27">
        <f t="shared" si="5"/>
        <v>162.5</v>
      </c>
    </row>
    <row r="10" spans="1:15" x14ac:dyDescent="0.2">
      <c r="A10" s="1">
        <v>7</v>
      </c>
      <c r="B10" s="1">
        <f t="shared" si="0"/>
        <v>26.1</v>
      </c>
      <c r="C10" s="27">
        <f t="shared" si="0"/>
        <v>250.75</v>
      </c>
      <c r="E10" s="1">
        <v>7</v>
      </c>
      <c r="F10" s="1">
        <f t="shared" si="1"/>
        <v>31.3</v>
      </c>
      <c r="G10" s="27">
        <f t="shared" si="1"/>
        <v>390.65</v>
      </c>
      <c r="I10" s="1">
        <v>7</v>
      </c>
      <c r="J10" s="1">
        <f t="shared" si="2"/>
        <v>30.8</v>
      </c>
      <c r="K10" s="27">
        <f t="shared" si="2"/>
        <v>196.94</v>
      </c>
      <c r="M10" s="27">
        <f t="shared" si="3"/>
        <v>250.75</v>
      </c>
      <c r="N10" s="27">
        <f t="shared" si="4"/>
        <v>390.65</v>
      </c>
      <c r="O10" s="27">
        <f t="shared" si="5"/>
        <v>196.94</v>
      </c>
    </row>
    <row r="11" spans="1:15" x14ac:dyDescent="0.2">
      <c r="A11" s="1">
        <v>8</v>
      </c>
      <c r="B11" s="1">
        <f t="shared" si="0"/>
        <v>19</v>
      </c>
      <c r="C11" s="27">
        <f t="shared" si="0"/>
        <v>190.34</v>
      </c>
      <c r="E11" s="1">
        <v>8</v>
      </c>
      <c r="F11" s="1">
        <f t="shared" si="1"/>
        <v>23</v>
      </c>
      <c r="G11" s="27">
        <f t="shared" si="1"/>
        <v>295.55</v>
      </c>
      <c r="I11" s="1">
        <v>8</v>
      </c>
      <c r="J11" s="1">
        <f t="shared" si="2"/>
        <v>22.6</v>
      </c>
      <c r="K11" s="27">
        <f t="shared" si="2"/>
        <v>158.37</v>
      </c>
      <c r="M11" s="27">
        <f t="shared" si="3"/>
        <v>190.34</v>
      </c>
      <c r="N11" s="27">
        <f t="shared" si="4"/>
        <v>295.55</v>
      </c>
      <c r="O11" s="27">
        <f t="shared" si="5"/>
        <v>158.37</v>
      </c>
    </row>
    <row r="12" spans="1:15" x14ac:dyDescent="0.2">
      <c r="A12" s="1">
        <v>9</v>
      </c>
      <c r="B12" s="1">
        <f t="shared" si="0"/>
        <v>25.6</v>
      </c>
      <c r="C12" s="27">
        <f t="shared" si="0"/>
        <v>238.64</v>
      </c>
      <c r="E12" s="1">
        <v>9</v>
      </c>
      <c r="F12" s="1">
        <f t="shared" si="1"/>
        <v>31</v>
      </c>
      <c r="G12" s="27">
        <f t="shared" si="1"/>
        <v>332.1</v>
      </c>
      <c r="I12" s="1">
        <v>9</v>
      </c>
      <c r="J12" s="1">
        <f t="shared" si="2"/>
        <v>30.5</v>
      </c>
      <c r="K12" s="27">
        <f t="shared" si="2"/>
        <v>183.51</v>
      </c>
      <c r="M12" s="27">
        <f t="shared" si="3"/>
        <v>238.64</v>
      </c>
      <c r="N12" s="27">
        <f t="shared" si="4"/>
        <v>332.1</v>
      </c>
      <c r="O12" s="27">
        <f t="shared" si="5"/>
        <v>183.51</v>
      </c>
    </row>
    <row r="13" spans="1:15" x14ac:dyDescent="0.2">
      <c r="A13" s="1">
        <v>10</v>
      </c>
      <c r="B13" s="1">
        <f t="shared" si="0"/>
        <v>24.5</v>
      </c>
      <c r="C13" s="27">
        <f t="shared" si="0"/>
        <v>252.92</v>
      </c>
      <c r="E13" s="1">
        <v>10</v>
      </c>
      <c r="F13" s="1">
        <f t="shared" si="1"/>
        <v>29.6</v>
      </c>
      <c r="G13" s="27">
        <f t="shared" si="1"/>
        <v>403.11</v>
      </c>
      <c r="I13" s="1">
        <v>10</v>
      </c>
      <c r="J13" s="1">
        <f t="shared" si="2"/>
        <v>29.2</v>
      </c>
      <c r="K13" s="27">
        <f t="shared" si="2"/>
        <v>216.39</v>
      </c>
      <c r="M13" s="27">
        <f t="shared" si="3"/>
        <v>252.92</v>
      </c>
      <c r="N13" s="27">
        <f t="shared" si="4"/>
        <v>403.11</v>
      </c>
      <c r="O13" s="27">
        <f t="shared" si="5"/>
        <v>216.39</v>
      </c>
    </row>
    <row r="14" spans="1:15" x14ac:dyDescent="0.2">
      <c r="A14" s="1">
        <v>11</v>
      </c>
      <c r="B14" s="1">
        <f t="shared" si="0"/>
        <v>30.8</v>
      </c>
      <c r="C14" s="27">
        <f t="shared" si="0"/>
        <v>276.22000000000003</v>
      </c>
      <c r="E14" s="1">
        <v>11</v>
      </c>
      <c r="F14" s="1">
        <f t="shared" si="1"/>
        <v>36.9</v>
      </c>
      <c r="G14" s="27">
        <f t="shared" si="1"/>
        <v>414.66</v>
      </c>
      <c r="I14" s="1">
        <v>11</v>
      </c>
      <c r="J14" s="1">
        <f t="shared" si="2"/>
        <v>36.1</v>
      </c>
      <c r="K14" s="27">
        <f t="shared" si="2"/>
        <v>222.88</v>
      </c>
      <c r="M14" s="27">
        <f t="shared" si="3"/>
        <v>276.22000000000003</v>
      </c>
      <c r="N14" s="27">
        <f t="shared" si="4"/>
        <v>414.66</v>
      </c>
      <c r="O14" s="27">
        <f t="shared" si="5"/>
        <v>222.88</v>
      </c>
    </row>
    <row r="15" spans="1:15" x14ac:dyDescent="0.2">
      <c r="A15" s="1">
        <v>12</v>
      </c>
      <c r="B15" s="1">
        <f t="shared" si="0"/>
        <v>24.6</v>
      </c>
      <c r="C15" s="27">
        <f t="shared" si="0"/>
        <v>318.51</v>
      </c>
      <c r="E15" s="1">
        <v>12</v>
      </c>
      <c r="F15" s="1">
        <f t="shared" si="1"/>
        <v>29.5</v>
      </c>
      <c r="G15" s="27">
        <f t="shared" si="1"/>
        <v>423.57</v>
      </c>
      <c r="I15" s="1">
        <v>12</v>
      </c>
      <c r="J15" s="1">
        <f t="shared" si="2"/>
        <v>28.9</v>
      </c>
      <c r="K15" s="27">
        <f t="shared" si="2"/>
        <v>234.1</v>
      </c>
      <c r="M15" s="27">
        <f t="shared" si="3"/>
        <v>318.51</v>
      </c>
      <c r="N15" s="27">
        <f t="shared" si="4"/>
        <v>423.57</v>
      </c>
      <c r="O15" s="27">
        <f t="shared" si="5"/>
        <v>234.1</v>
      </c>
    </row>
    <row r="16" spans="1:15" x14ac:dyDescent="0.2">
      <c r="A16" s="1">
        <v>13</v>
      </c>
      <c r="B16" s="1">
        <f t="shared" si="0"/>
        <v>30.8</v>
      </c>
      <c r="C16" s="27">
        <f t="shared" si="0"/>
        <v>326.7</v>
      </c>
      <c r="E16" s="1">
        <v>13</v>
      </c>
      <c r="F16" s="1">
        <f t="shared" si="1"/>
        <v>36.9</v>
      </c>
      <c r="G16" s="27">
        <f t="shared" si="1"/>
        <v>483.77</v>
      </c>
      <c r="I16" s="1">
        <v>13</v>
      </c>
      <c r="J16" s="1">
        <f t="shared" si="2"/>
        <v>36.200000000000003</v>
      </c>
      <c r="K16" s="27">
        <f t="shared" si="2"/>
        <v>297.60000000000002</v>
      </c>
      <c r="M16" s="27">
        <f t="shared" si="3"/>
        <v>326.7</v>
      </c>
      <c r="N16" s="27">
        <f t="shared" si="4"/>
        <v>483.77</v>
      </c>
      <c r="O16" s="27">
        <f t="shared" si="5"/>
        <v>297.60000000000002</v>
      </c>
    </row>
    <row r="17" spans="1:15" x14ac:dyDescent="0.2">
      <c r="A17" s="1">
        <v>14</v>
      </c>
      <c r="B17" s="1">
        <f t="shared" si="0"/>
        <v>24.6</v>
      </c>
      <c r="C17" s="27">
        <f t="shared" si="0"/>
        <v>277.42</v>
      </c>
      <c r="E17" s="1">
        <v>14</v>
      </c>
      <c r="F17" s="1">
        <f t="shared" si="1"/>
        <v>29.8</v>
      </c>
      <c r="G17" s="27">
        <f t="shared" si="1"/>
        <v>401.55</v>
      </c>
      <c r="I17" s="1">
        <v>14</v>
      </c>
      <c r="J17" s="1">
        <f t="shared" si="2"/>
        <v>29.2</v>
      </c>
      <c r="K17" s="27">
        <f t="shared" si="2"/>
        <v>239.77</v>
      </c>
      <c r="M17" s="27">
        <f t="shared" si="3"/>
        <v>277.42</v>
      </c>
      <c r="N17" s="27">
        <f t="shared" si="4"/>
        <v>401.55</v>
      </c>
      <c r="O17" s="27">
        <f t="shared" si="5"/>
        <v>239.77</v>
      </c>
    </row>
    <row r="18" spans="1:15" x14ac:dyDescent="0.2">
      <c r="A18" s="1">
        <v>15</v>
      </c>
      <c r="B18" s="1">
        <f t="shared" si="0"/>
        <v>30.4</v>
      </c>
      <c r="C18" s="27">
        <f t="shared" si="0"/>
        <v>285.92</v>
      </c>
      <c r="E18" s="1">
        <v>15</v>
      </c>
      <c r="F18" s="1">
        <f t="shared" si="1"/>
        <v>36.799999999999997</v>
      </c>
      <c r="G18" s="27">
        <f t="shared" si="1"/>
        <v>490.71</v>
      </c>
      <c r="I18" s="1">
        <v>15</v>
      </c>
      <c r="J18" s="1">
        <f t="shared" si="2"/>
        <v>35.9</v>
      </c>
      <c r="K18" s="27">
        <f t="shared" si="2"/>
        <v>252.96</v>
      </c>
      <c r="M18" s="27">
        <f t="shared" si="3"/>
        <v>285.92</v>
      </c>
      <c r="N18" s="27">
        <f t="shared" si="4"/>
        <v>490.71</v>
      </c>
      <c r="O18" s="27">
        <f t="shared" si="5"/>
        <v>252.96</v>
      </c>
    </row>
    <row r="19" spans="1:15" ht="41.25" x14ac:dyDescent="0.2">
      <c r="A19" s="1" t="s">
        <v>38</v>
      </c>
      <c r="B19" s="1" t="s">
        <v>46</v>
      </c>
      <c r="C19" s="27"/>
      <c r="G19" s="27"/>
      <c r="K19" s="27"/>
    </row>
    <row r="20" spans="1:15" x14ac:dyDescent="0.2">
      <c r="A20" s="1" t="s">
        <v>35</v>
      </c>
      <c r="B20" s="27">
        <f>AVERAGE(C4:C18)</f>
        <v>302.15400000000005</v>
      </c>
    </row>
    <row r="21" spans="1:15" x14ac:dyDescent="0.2">
      <c r="A21" s="1" t="s">
        <v>36</v>
      </c>
      <c r="B21" s="27">
        <f>AVERAGE(G4:G18)</f>
        <v>428.44466666666665</v>
      </c>
    </row>
    <row r="22" spans="1:15" x14ac:dyDescent="0.2">
      <c r="A22" s="1" t="s">
        <v>37</v>
      </c>
      <c r="B22" s="27">
        <f>AVERAGE(K4:K18)</f>
        <v>240.17066666666662</v>
      </c>
    </row>
    <row r="24" spans="1:15" ht="27.75" x14ac:dyDescent="0.2">
      <c r="A24" s="1" t="s">
        <v>40</v>
      </c>
      <c r="B24" s="79">
        <f>(1-B22/B21)</f>
        <v>0.43943597539627843</v>
      </c>
    </row>
    <row r="37" spans="1:14" x14ac:dyDescent="0.2">
      <c r="A37" s="1" t="s">
        <v>35</v>
      </c>
      <c r="F37" s="1" t="s">
        <v>36</v>
      </c>
      <c r="K37" s="1" t="s">
        <v>37</v>
      </c>
    </row>
    <row r="38" spans="1:14" ht="54.75" x14ac:dyDescent="0.2">
      <c r="A38" s="1" t="s">
        <v>2</v>
      </c>
      <c r="B38" s="1" t="s">
        <v>3</v>
      </c>
      <c r="C38" s="1" t="s">
        <v>6</v>
      </c>
      <c r="D38" s="1" t="s">
        <v>8</v>
      </c>
      <c r="F38" s="1" t="s">
        <v>2</v>
      </c>
      <c r="G38" s="1" t="s">
        <v>3</v>
      </c>
      <c r="H38" s="1" t="s">
        <v>6</v>
      </c>
      <c r="I38" s="1" t="s">
        <v>8</v>
      </c>
      <c r="K38" s="1" t="s">
        <v>2</v>
      </c>
      <c r="L38" s="1" t="s">
        <v>3</v>
      </c>
      <c r="M38" s="1" t="s">
        <v>6</v>
      </c>
      <c r="N38" s="1" t="s">
        <v>8</v>
      </c>
    </row>
    <row r="39" spans="1:14" x14ac:dyDescent="0.2">
      <c r="A39" s="1">
        <v>1</v>
      </c>
      <c r="B39" s="1" t="s">
        <v>15</v>
      </c>
      <c r="C39" s="1">
        <v>61.3</v>
      </c>
      <c r="D39" s="1">
        <v>823.48</v>
      </c>
      <c r="F39" s="1">
        <v>1</v>
      </c>
      <c r="G39" s="1" t="s">
        <v>15</v>
      </c>
      <c r="H39" s="1">
        <v>73</v>
      </c>
      <c r="I39" s="1">
        <v>1280.8800000000001</v>
      </c>
      <c r="K39" s="1">
        <v>1</v>
      </c>
      <c r="L39" s="1" t="s">
        <v>15</v>
      </c>
      <c r="M39" s="1">
        <v>74.599999999999994</v>
      </c>
      <c r="N39" s="1">
        <v>713.07</v>
      </c>
    </row>
    <row r="40" spans="1:14" x14ac:dyDescent="0.2">
      <c r="A40" s="1">
        <v>2</v>
      </c>
      <c r="B40" s="1" t="s">
        <v>15</v>
      </c>
      <c r="C40" s="1">
        <v>20</v>
      </c>
      <c r="D40" s="1">
        <v>268.27</v>
      </c>
      <c r="F40" s="1">
        <v>2</v>
      </c>
      <c r="G40" s="1" t="s">
        <v>15</v>
      </c>
      <c r="H40" s="1">
        <v>16.7</v>
      </c>
      <c r="I40" s="1">
        <v>211.47</v>
      </c>
      <c r="K40" s="1">
        <v>2</v>
      </c>
      <c r="L40" s="1" t="s">
        <v>15</v>
      </c>
      <c r="M40" s="1">
        <v>18</v>
      </c>
      <c r="N40" s="1">
        <v>121.17</v>
      </c>
    </row>
    <row r="41" spans="1:14" x14ac:dyDescent="0.2">
      <c r="A41" s="1">
        <v>3</v>
      </c>
      <c r="B41" s="1" t="s">
        <v>15</v>
      </c>
      <c r="C41" s="1">
        <v>25.5</v>
      </c>
      <c r="D41" s="1">
        <v>388.75</v>
      </c>
      <c r="F41" s="1">
        <v>3</v>
      </c>
      <c r="G41" s="1" t="s">
        <v>15</v>
      </c>
      <c r="H41" s="1">
        <v>24.1</v>
      </c>
      <c r="I41" s="1">
        <v>354.94</v>
      </c>
      <c r="K41" s="1">
        <v>3</v>
      </c>
      <c r="L41" s="1" t="s">
        <v>15</v>
      </c>
      <c r="M41" s="1">
        <v>26.7</v>
      </c>
      <c r="N41" s="1">
        <v>228.77</v>
      </c>
    </row>
    <row r="42" spans="1:14" x14ac:dyDescent="0.2">
      <c r="A42" s="1">
        <v>4</v>
      </c>
      <c r="B42" s="1" t="s">
        <v>17</v>
      </c>
      <c r="C42" s="1">
        <v>19.2</v>
      </c>
      <c r="D42" s="1">
        <v>205.66</v>
      </c>
      <c r="F42" s="1">
        <v>4</v>
      </c>
      <c r="G42" s="1" t="s">
        <v>17</v>
      </c>
      <c r="H42" s="1">
        <v>23</v>
      </c>
      <c r="I42" s="1">
        <v>254.67</v>
      </c>
      <c r="K42" s="1">
        <v>4</v>
      </c>
      <c r="L42" s="1" t="s">
        <v>17</v>
      </c>
      <c r="M42" s="1">
        <v>24.4</v>
      </c>
      <c r="N42" s="1">
        <v>176.33</v>
      </c>
    </row>
    <row r="43" spans="1:14" x14ac:dyDescent="0.2">
      <c r="A43" s="1">
        <v>5</v>
      </c>
      <c r="B43" s="1" t="s">
        <v>17</v>
      </c>
      <c r="C43" s="1">
        <v>26</v>
      </c>
      <c r="D43" s="1">
        <v>201.67</v>
      </c>
      <c r="F43" s="1">
        <v>5</v>
      </c>
      <c r="G43" s="1" t="s">
        <v>17</v>
      </c>
      <c r="H43" s="1">
        <v>35.1</v>
      </c>
      <c r="I43" s="1">
        <v>369.98</v>
      </c>
      <c r="K43" s="1">
        <v>5</v>
      </c>
      <c r="L43" s="1" t="s">
        <v>17</v>
      </c>
      <c r="M43" s="1">
        <v>35.5</v>
      </c>
      <c r="N43" s="1">
        <v>198.2</v>
      </c>
    </row>
    <row r="44" spans="1:14" x14ac:dyDescent="0.2">
      <c r="A44" s="1">
        <v>6</v>
      </c>
      <c r="B44" s="1" t="s">
        <v>18</v>
      </c>
      <c r="C44" s="1">
        <v>19</v>
      </c>
      <c r="D44" s="1">
        <v>227.06</v>
      </c>
      <c r="F44" s="1">
        <v>6</v>
      </c>
      <c r="G44" s="1" t="s">
        <v>18</v>
      </c>
      <c r="H44" s="1">
        <v>22.9</v>
      </c>
      <c r="I44" s="1">
        <v>319.06</v>
      </c>
      <c r="K44" s="1">
        <v>6</v>
      </c>
      <c r="L44" s="1" t="s">
        <v>18</v>
      </c>
      <c r="M44" s="1">
        <v>22.5</v>
      </c>
      <c r="N44" s="1">
        <v>162.5</v>
      </c>
    </row>
    <row r="45" spans="1:14" x14ac:dyDescent="0.2">
      <c r="A45" s="1">
        <v>7</v>
      </c>
      <c r="B45" s="1" t="s">
        <v>18</v>
      </c>
      <c r="C45" s="1">
        <v>26.1</v>
      </c>
      <c r="D45" s="1">
        <v>250.75</v>
      </c>
      <c r="F45" s="1">
        <v>7</v>
      </c>
      <c r="G45" s="1" t="s">
        <v>18</v>
      </c>
      <c r="H45" s="1">
        <v>31.3</v>
      </c>
      <c r="I45" s="1">
        <v>390.65</v>
      </c>
      <c r="K45" s="1">
        <v>7</v>
      </c>
      <c r="L45" s="1" t="s">
        <v>18</v>
      </c>
      <c r="M45" s="1">
        <v>30.8</v>
      </c>
      <c r="N45" s="1">
        <v>196.94</v>
      </c>
    </row>
    <row r="46" spans="1:14" x14ac:dyDescent="0.2">
      <c r="A46" s="1">
        <v>8</v>
      </c>
      <c r="B46" s="1" t="s">
        <v>19</v>
      </c>
      <c r="C46" s="1">
        <v>19</v>
      </c>
      <c r="D46" s="1">
        <v>190.34</v>
      </c>
      <c r="F46" s="1">
        <v>8</v>
      </c>
      <c r="G46" s="1" t="s">
        <v>19</v>
      </c>
      <c r="H46" s="1">
        <v>23</v>
      </c>
      <c r="I46" s="1">
        <v>295.55</v>
      </c>
      <c r="K46" s="1">
        <v>8</v>
      </c>
      <c r="L46" s="1" t="s">
        <v>19</v>
      </c>
      <c r="M46" s="1">
        <v>22.6</v>
      </c>
      <c r="N46" s="1">
        <v>158.37</v>
      </c>
    </row>
    <row r="47" spans="1:14" x14ac:dyDescent="0.2">
      <c r="A47" s="1">
        <v>9</v>
      </c>
      <c r="B47" s="1" t="s">
        <v>19</v>
      </c>
      <c r="C47" s="1">
        <v>25.6</v>
      </c>
      <c r="D47" s="1">
        <v>238.64</v>
      </c>
      <c r="F47" s="1">
        <v>9</v>
      </c>
      <c r="G47" s="1" t="s">
        <v>19</v>
      </c>
      <c r="H47" s="1">
        <v>31</v>
      </c>
      <c r="I47" s="1">
        <v>332.1</v>
      </c>
      <c r="K47" s="1">
        <v>9</v>
      </c>
      <c r="L47" s="1" t="s">
        <v>19</v>
      </c>
      <c r="M47" s="1">
        <v>30.5</v>
      </c>
      <c r="N47" s="1">
        <v>183.51</v>
      </c>
    </row>
    <row r="48" spans="1:14" x14ac:dyDescent="0.2">
      <c r="A48" s="1">
        <v>10</v>
      </c>
      <c r="B48" s="1" t="s">
        <v>17</v>
      </c>
      <c r="C48" s="1">
        <v>24.5</v>
      </c>
      <c r="D48" s="1">
        <v>252.92</v>
      </c>
      <c r="F48" s="1">
        <v>10</v>
      </c>
      <c r="G48" s="1" t="s">
        <v>17</v>
      </c>
      <c r="H48" s="1">
        <v>29.6</v>
      </c>
      <c r="I48" s="1">
        <v>403.11</v>
      </c>
      <c r="K48" s="1">
        <v>10</v>
      </c>
      <c r="L48" s="1" t="s">
        <v>17</v>
      </c>
      <c r="M48" s="1">
        <v>29.2</v>
      </c>
      <c r="N48" s="1">
        <v>216.39</v>
      </c>
    </row>
    <row r="49" spans="1:14" x14ac:dyDescent="0.2">
      <c r="A49" s="1">
        <v>11</v>
      </c>
      <c r="B49" s="1" t="s">
        <v>17</v>
      </c>
      <c r="C49" s="1">
        <v>30.8</v>
      </c>
      <c r="D49" s="1">
        <v>276.22000000000003</v>
      </c>
      <c r="F49" s="1">
        <v>11</v>
      </c>
      <c r="G49" s="1" t="s">
        <v>17</v>
      </c>
      <c r="H49" s="1">
        <v>36.9</v>
      </c>
      <c r="I49" s="1">
        <v>414.66</v>
      </c>
      <c r="K49" s="1">
        <v>11</v>
      </c>
      <c r="L49" s="1" t="s">
        <v>17</v>
      </c>
      <c r="M49" s="1">
        <v>36.1</v>
      </c>
      <c r="N49" s="1">
        <v>222.88</v>
      </c>
    </row>
    <row r="50" spans="1:14" x14ac:dyDescent="0.2">
      <c r="A50" s="1">
        <v>12</v>
      </c>
      <c r="B50" s="1" t="s">
        <v>18</v>
      </c>
      <c r="C50" s="1">
        <v>24.6</v>
      </c>
      <c r="D50" s="1">
        <v>318.51</v>
      </c>
      <c r="F50" s="1">
        <v>12</v>
      </c>
      <c r="G50" s="1" t="s">
        <v>18</v>
      </c>
      <c r="H50" s="1">
        <v>29.5</v>
      </c>
      <c r="I50" s="1">
        <v>423.57</v>
      </c>
      <c r="K50" s="1">
        <v>12</v>
      </c>
      <c r="L50" s="1" t="s">
        <v>18</v>
      </c>
      <c r="M50" s="1">
        <v>28.9</v>
      </c>
      <c r="N50" s="1">
        <v>234.1</v>
      </c>
    </row>
    <row r="51" spans="1:14" x14ac:dyDescent="0.2">
      <c r="A51" s="1">
        <v>13</v>
      </c>
      <c r="B51" s="1" t="s">
        <v>18</v>
      </c>
      <c r="C51" s="1">
        <v>30.8</v>
      </c>
      <c r="D51" s="1">
        <v>326.7</v>
      </c>
      <c r="F51" s="1">
        <v>13</v>
      </c>
      <c r="G51" s="1" t="s">
        <v>18</v>
      </c>
      <c r="H51" s="1">
        <v>36.9</v>
      </c>
      <c r="I51" s="1">
        <v>483.77</v>
      </c>
      <c r="K51" s="1">
        <v>13</v>
      </c>
      <c r="L51" s="1" t="s">
        <v>18</v>
      </c>
      <c r="M51" s="1">
        <v>36.200000000000003</v>
      </c>
      <c r="N51" s="1">
        <v>297.60000000000002</v>
      </c>
    </row>
    <row r="52" spans="1:14" x14ac:dyDescent="0.2">
      <c r="A52" s="1">
        <v>14</v>
      </c>
      <c r="B52" s="1" t="s">
        <v>19</v>
      </c>
      <c r="C52" s="1">
        <v>24.6</v>
      </c>
      <c r="D52" s="1">
        <v>277.42</v>
      </c>
      <c r="F52" s="1">
        <v>14</v>
      </c>
      <c r="G52" s="1" t="s">
        <v>19</v>
      </c>
      <c r="H52" s="1">
        <v>29.8</v>
      </c>
      <c r="I52" s="1">
        <v>401.55</v>
      </c>
      <c r="K52" s="1">
        <v>14</v>
      </c>
      <c r="L52" s="1" t="s">
        <v>19</v>
      </c>
      <c r="M52" s="1">
        <v>29.2</v>
      </c>
      <c r="N52" s="1">
        <v>239.77</v>
      </c>
    </row>
    <row r="53" spans="1:14" x14ac:dyDescent="0.2">
      <c r="A53" s="1">
        <v>15</v>
      </c>
      <c r="B53" s="1" t="s">
        <v>19</v>
      </c>
      <c r="C53" s="1">
        <v>30.4</v>
      </c>
      <c r="D53" s="1">
        <v>285.92</v>
      </c>
      <c r="F53" s="1">
        <v>15</v>
      </c>
      <c r="G53" s="1" t="s">
        <v>19</v>
      </c>
      <c r="H53" s="1">
        <v>36.799999999999997</v>
      </c>
      <c r="I53" s="1">
        <v>490.71</v>
      </c>
      <c r="K53" s="1">
        <v>15</v>
      </c>
      <c r="L53" s="1" t="s">
        <v>19</v>
      </c>
      <c r="M53" s="1">
        <v>35.9</v>
      </c>
      <c r="N53" s="1">
        <v>252.96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8B7-DFF7-4716-9E6D-3192F0C461F8}">
  <dimension ref="A2:O53"/>
  <sheetViews>
    <sheetView topLeftCell="A3" zoomScale="70" zoomScaleNormal="70" workbookViewId="0">
      <selection activeCell="R15" sqref="R15"/>
    </sheetView>
  </sheetViews>
  <sheetFormatPr defaultColWidth="9.14453125" defaultRowHeight="15" x14ac:dyDescent="0.2"/>
  <cols>
    <col min="1" max="1" width="11.703125" style="1" bestFit="1" customWidth="1"/>
    <col min="2" max="2" width="10.085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7.8007812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</row>
    <row r="3" spans="1:15" ht="27.75" x14ac:dyDescent="0.2">
      <c r="A3" s="1" t="s">
        <v>2</v>
      </c>
      <c r="B3" s="1" t="s">
        <v>6</v>
      </c>
      <c r="C3" s="1" t="s">
        <v>8</v>
      </c>
      <c r="E3" s="1" t="s">
        <v>2</v>
      </c>
      <c r="F3" s="1" t="s">
        <v>6</v>
      </c>
      <c r="G3" s="1" t="s">
        <v>8</v>
      </c>
      <c r="I3" s="1" t="s">
        <v>2</v>
      </c>
      <c r="J3" s="1" t="s">
        <v>6</v>
      </c>
      <c r="K3" s="1" t="s">
        <v>8</v>
      </c>
      <c r="M3" s="1" t="s">
        <v>35</v>
      </c>
      <c r="N3" s="1" t="s">
        <v>36</v>
      </c>
      <c r="O3" s="1" t="s">
        <v>37</v>
      </c>
    </row>
    <row r="4" spans="1:15" x14ac:dyDescent="0.2">
      <c r="A4" s="1">
        <v>1</v>
      </c>
      <c r="B4" s="1">
        <f>C39</f>
        <v>61.3</v>
      </c>
      <c r="C4" s="27">
        <f>D39</f>
        <v>0.23499999999999999</v>
      </c>
      <c r="E4" s="1">
        <v>1</v>
      </c>
      <c r="F4" s="1">
        <f>H39</f>
        <v>73</v>
      </c>
      <c r="G4" s="27">
        <f>I39</f>
        <v>0.1056</v>
      </c>
      <c r="I4" s="1">
        <v>1</v>
      </c>
      <c r="J4" s="1">
        <f>M39</f>
        <v>74.599999999999994</v>
      </c>
      <c r="K4" s="27">
        <f>N39</f>
        <v>0.28489999999999999</v>
      </c>
      <c r="M4" s="27">
        <f>C4</f>
        <v>0.23499999999999999</v>
      </c>
      <c r="N4" s="27">
        <f>G4</f>
        <v>0.1056</v>
      </c>
      <c r="O4" s="27">
        <f>K4</f>
        <v>0.28489999999999999</v>
      </c>
    </row>
    <row r="5" spans="1:15" x14ac:dyDescent="0.2">
      <c r="A5" s="1">
        <v>2</v>
      </c>
      <c r="B5" s="1">
        <f t="shared" ref="B5:C18" si="0">C40</f>
        <v>20</v>
      </c>
      <c r="C5" s="27">
        <f t="shared" si="0"/>
        <v>2.93E-2</v>
      </c>
      <c r="E5" s="1">
        <v>2</v>
      </c>
      <c r="F5" s="1">
        <f t="shared" ref="F5:G18" si="1">H40</f>
        <v>16.7</v>
      </c>
      <c r="G5" s="27">
        <f t="shared" si="1"/>
        <v>3.27E-2</v>
      </c>
      <c r="I5" s="1">
        <v>2</v>
      </c>
      <c r="J5" s="1">
        <f t="shared" ref="J5:K18" si="2">M40</f>
        <v>18</v>
      </c>
      <c r="K5" s="27">
        <f t="shared" si="2"/>
        <v>7.4200000000000002E-2</v>
      </c>
      <c r="M5" s="27">
        <f t="shared" ref="M5:M18" si="3">C5</f>
        <v>2.93E-2</v>
      </c>
      <c r="N5" s="27">
        <f t="shared" ref="N5:N18" si="4">G5</f>
        <v>3.27E-2</v>
      </c>
      <c r="O5" s="27">
        <f t="shared" ref="O5:O18" si="5">K5</f>
        <v>7.4200000000000002E-2</v>
      </c>
    </row>
    <row r="6" spans="1:15" x14ac:dyDescent="0.2">
      <c r="A6" s="1">
        <v>3</v>
      </c>
      <c r="B6" s="1">
        <f t="shared" si="0"/>
        <v>25.5</v>
      </c>
      <c r="C6" s="27">
        <f t="shared" si="0"/>
        <v>3.2300000000000002E-2</v>
      </c>
      <c r="E6" s="1">
        <v>3</v>
      </c>
      <c r="F6" s="1">
        <f t="shared" si="1"/>
        <v>24.1</v>
      </c>
      <c r="G6" s="27">
        <f t="shared" si="1"/>
        <v>2.35E-2</v>
      </c>
      <c r="I6" s="1">
        <v>3</v>
      </c>
      <c r="J6" s="1">
        <f t="shared" si="2"/>
        <v>26.7</v>
      </c>
      <c r="K6" s="27">
        <f t="shared" si="2"/>
        <v>2.5899999999999999E-2</v>
      </c>
      <c r="M6" s="27">
        <f t="shared" si="3"/>
        <v>3.2300000000000002E-2</v>
      </c>
      <c r="N6" s="27">
        <f t="shared" si="4"/>
        <v>2.35E-2</v>
      </c>
      <c r="O6" s="27">
        <f t="shared" si="5"/>
        <v>2.5899999999999999E-2</v>
      </c>
    </row>
    <row r="7" spans="1:15" x14ac:dyDescent="0.2">
      <c r="A7" s="1">
        <v>4</v>
      </c>
      <c r="B7" s="1">
        <f t="shared" si="0"/>
        <v>19.2</v>
      </c>
      <c r="C7" s="27">
        <f t="shared" si="0"/>
        <v>2.07E-2</v>
      </c>
      <c r="E7" s="1">
        <v>4</v>
      </c>
      <c r="F7" s="1">
        <f t="shared" si="1"/>
        <v>23</v>
      </c>
      <c r="G7" s="27">
        <f t="shared" si="1"/>
        <v>7.9799999999999996E-2</v>
      </c>
      <c r="I7" s="1">
        <v>4</v>
      </c>
      <c r="J7" s="1">
        <f t="shared" si="2"/>
        <v>24.4</v>
      </c>
      <c r="K7" s="27">
        <f t="shared" si="2"/>
        <v>9.9400000000000002E-2</v>
      </c>
      <c r="M7" s="27">
        <f t="shared" si="3"/>
        <v>2.07E-2</v>
      </c>
      <c r="N7" s="27">
        <f t="shared" si="4"/>
        <v>7.9799999999999996E-2</v>
      </c>
      <c r="O7" s="27">
        <f t="shared" si="5"/>
        <v>9.9400000000000002E-2</v>
      </c>
    </row>
    <row r="8" spans="1:15" x14ac:dyDescent="0.2">
      <c r="A8" s="1">
        <v>5</v>
      </c>
      <c r="B8" s="1">
        <f t="shared" si="0"/>
        <v>26</v>
      </c>
      <c r="C8" s="27">
        <f t="shared" si="0"/>
        <v>6.0999999999999999E-2</v>
      </c>
      <c r="E8" s="1">
        <v>5</v>
      </c>
      <c r="F8" s="1">
        <f t="shared" si="1"/>
        <v>35.1</v>
      </c>
      <c r="G8" s="27">
        <f t="shared" si="1"/>
        <v>0.13500000000000001</v>
      </c>
      <c r="I8" s="1">
        <v>5</v>
      </c>
      <c r="J8" s="1">
        <f t="shared" si="2"/>
        <v>35.5</v>
      </c>
      <c r="K8" s="27">
        <f t="shared" si="2"/>
        <v>0.2044</v>
      </c>
      <c r="M8" s="27">
        <f t="shared" si="3"/>
        <v>6.0999999999999999E-2</v>
      </c>
      <c r="N8" s="27">
        <f t="shared" si="4"/>
        <v>0.13500000000000001</v>
      </c>
      <c r="O8" s="27">
        <f t="shared" si="5"/>
        <v>0.2044</v>
      </c>
    </row>
    <row r="9" spans="1:15" x14ac:dyDescent="0.2">
      <c r="A9" s="1">
        <v>6</v>
      </c>
      <c r="B9" s="1">
        <f t="shared" si="0"/>
        <v>19</v>
      </c>
      <c r="C9" s="27">
        <f t="shared" si="0"/>
        <v>1.61E-2</v>
      </c>
      <c r="E9" s="1">
        <v>6</v>
      </c>
      <c r="F9" s="1">
        <f t="shared" si="1"/>
        <v>22.9</v>
      </c>
      <c r="G9" s="27">
        <f t="shared" si="1"/>
        <v>6.7299999999999999E-2</v>
      </c>
      <c r="I9" s="1">
        <v>6</v>
      </c>
      <c r="J9" s="1">
        <f t="shared" si="2"/>
        <v>22.5</v>
      </c>
      <c r="K9" s="27">
        <f t="shared" si="2"/>
        <v>7.5200000000000003E-2</v>
      </c>
      <c r="M9" s="27">
        <f t="shared" si="3"/>
        <v>1.61E-2</v>
      </c>
      <c r="N9" s="27">
        <f t="shared" si="4"/>
        <v>6.7299999999999999E-2</v>
      </c>
      <c r="O9" s="27">
        <f t="shared" si="5"/>
        <v>7.5200000000000003E-2</v>
      </c>
    </row>
    <row r="10" spans="1:15" x14ac:dyDescent="0.2">
      <c r="A10" s="1">
        <v>7</v>
      </c>
      <c r="B10" s="1">
        <f t="shared" si="0"/>
        <v>26.1</v>
      </c>
      <c r="C10" s="27">
        <f t="shared" si="0"/>
        <v>8.9300000000000004E-2</v>
      </c>
      <c r="E10" s="1">
        <v>7</v>
      </c>
      <c r="F10" s="1">
        <f t="shared" si="1"/>
        <v>31.3</v>
      </c>
      <c r="G10" s="27">
        <f t="shared" si="1"/>
        <v>0.12230000000000001</v>
      </c>
      <c r="I10" s="1">
        <v>7</v>
      </c>
      <c r="J10" s="1">
        <f t="shared" si="2"/>
        <v>30.8</v>
      </c>
      <c r="K10" s="27">
        <f t="shared" si="2"/>
        <v>0.11849999999999999</v>
      </c>
      <c r="M10" s="27">
        <f t="shared" si="3"/>
        <v>8.9300000000000004E-2</v>
      </c>
      <c r="N10" s="27">
        <f t="shared" si="4"/>
        <v>0.12230000000000001</v>
      </c>
      <c r="O10" s="27">
        <f t="shared" si="5"/>
        <v>0.11849999999999999</v>
      </c>
    </row>
    <row r="11" spans="1:15" x14ac:dyDescent="0.2">
      <c r="A11" s="1">
        <v>8</v>
      </c>
      <c r="B11" s="1">
        <f t="shared" si="0"/>
        <v>19</v>
      </c>
      <c r="C11" s="27">
        <f t="shared" si="0"/>
        <v>5.8700000000000002E-2</v>
      </c>
      <c r="E11" s="1">
        <v>8</v>
      </c>
      <c r="F11" s="1">
        <f t="shared" si="1"/>
        <v>23</v>
      </c>
      <c r="G11" s="27">
        <f t="shared" si="1"/>
        <v>8.14E-2</v>
      </c>
      <c r="I11" s="1">
        <v>8</v>
      </c>
      <c r="J11" s="1">
        <f t="shared" si="2"/>
        <v>22.6</v>
      </c>
      <c r="K11" s="27">
        <f t="shared" si="2"/>
        <v>4.0099999999999997E-2</v>
      </c>
      <c r="M11" s="27">
        <f t="shared" si="3"/>
        <v>5.8700000000000002E-2</v>
      </c>
      <c r="N11" s="27">
        <f t="shared" si="4"/>
        <v>8.14E-2</v>
      </c>
      <c r="O11" s="27">
        <f t="shared" si="5"/>
        <v>4.0099999999999997E-2</v>
      </c>
    </row>
    <row r="12" spans="1:15" x14ac:dyDescent="0.2">
      <c r="A12" s="1">
        <v>9</v>
      </c>
      <c r="B12" s="1">
        <f t="shared" si="0"/>
        <v>25.6</v>
      </c>
      <c r="C12" s="27">
        <f t="shared" si="0"/>
        <v>2.5600000000000001E-2</v>
      </c>
      <c r="E12" s="1">
        <v>9</v>
      </c>
      <c r="F12" s="1">
        <f t="shared" si="1"/>
        <v>31</v>
      </c>
      <c r="G12" s="27">
        <f t="shared" si="1"/>
        <v>0.1101</v>
      </c>
      <c r="I12" s="1">
        <v>9</v>
      </c>
      <c r="J12" s="1">
        <f t="shared" si="2"/>
        <v>30.5</v>
      </c>
      <c r="K12" s="27">
        <f t="shared" si="2"/>
        <v>0.12039999999999999</v>
      </c>
      <c r="M12" s="27">
        <f t="shared" si="3"/>
        <v>2.5600000000000001E-2</v>
      </c>
      <c r="N12" s="27">
        <f t="shared" si="4"/>
        <v>0.1101</v>
      </c>
      <c r="O12" s="27">
        <f t="shared" si="5"/>
        <v>0.12039999999999999</v>
      </c>
    </row>
    <row r="13" spans="1:15" x14ac:dyDescent="0.2">
      <c r="A13" s="1">
        <v>10</v>
      </c>
      <c r="B13" s="1">
        <f t="shared" si="0"/>
        <v>24.5</v>
      </c>
      <c r="C13" s="27">
        <f t="shared" si="0"/>
        <v>7.9100000000000004E-2</v>
      </c>
      <c r="E13" s="1">
        <v>10</v>
      </c>
      <c r="F13" s="1">
        <f t="shared" si="1"/>
        <v>29.6</v>
      </c>
      <c r="G13" s="27">
        <f t="shared" si="1"/>
        <v>0.1157</v>
      </c>
      <c r="I13" s="1">
        <v>10</v>
      </c>
      <c r="J13" s="1">
        <f t="shared" si="2"/>
        <v>29.2</v>
      </c>
      <c r="K13" s="27">
        <f t="shared" si="2"/>
        <v>8.8499999999999995E-2</v>
      </c>
      <c r="M13" s="27">
        <f t="shared" si="3"/>
        <v>7.9100000000000004E-2</v>
      </c>
      <c r="N13" s="27">
        <f t="shared" si="4"/>
        <v>0.1157</v>
      </c>
      <c r="O13" s="27">
        <f t="shared" si="5"/>
        <v>8.8499999999999995E-2</v>
      </c>
    </row>
    <row r="14" spans="1:15" x14ac:dyDescent="0.2">
      <c r="A14" s="1">
        <v>11</v>
      </c>
      <c r="B14" s="1">
        <f t="shared" si="0"/>
        <v>30.8</v>
      </c>
      <c r="C14" s="27">
        <f t="shared" si="0"/>
        <v>0.13070000000000001</v>
      </c>
      <c r="E14" s="1">
        <v>11</v>
      </c>
      <c r="F14" s="1">
        <f t="shared" si="1"/>
        <v>36.9</v>
      </c>
      <c r="G14" s="27">
        <f t="shared" si="1"/>
        <v>0.1236</v>
      </c>
      <c r="I14" s="1">
        <v>11</v>
      </c>
      <c r="J14" s="1">
        <f t="shared" si="2"/>
        <v>36.1</v>
      </c>
      <c r="K14" s="27">
        <f t="shared" si="2"/>
        <v>0.16589999999999999</v>
      </c>
      <c r="M14" s="27">
        <f t="shared" si="3"/>
        <v>0.13070000000000001</v>
      </c>
      <c r="N14" s="27">
        <f t="shared" si="4"/>
        <v>0.1236</v>
      </c>
      <c r="O14" s="27">
        <f t="shared" si="5"/>
        <v>0.16589999999999999</v>
      </c>
    </row>
    <row r="15" spans="1:15" x14ac:dyDescent="0.2">
      <c r="A15" s="1">
        <v>12</v>
      </c>
      <c r="B15" s="1">
        <f t="shared" si="0"/>
        <v>24.6</v>
      </c>
      <c r="C15" s="27">
        <f t="shared" si="0"/>
        <v>2.0199999999999999E-2</v>
      </c>
      <c r="E15" s="1">
        <v>12</v>
      </c>
      <c r="F15" s="1">
        <f t="shared" si="1"/>
        <v>29.5</v>
      </c>
      <c r="G15" s="27">
        <f t="shared" si="1"/>
        <v>7.0400000000000004E-2</v>
      </c>
      <c r="I15" s="1">
        <v>12</v>
      </c>
      <c r="J15" s="1">
        <f t="shared" si="2"/>
        <v>28.9</v>
      </c>
      <c r="K15" s="27">
        <f t="shared" si="2"/>
        <v>7.2300000000000003E-2</v>
      </c>
      <c r="M15" s="27">
        <f t="shared" si="3"/>
        <v>2.0199999999999999E-2</v>
      </c>
      <c r="N15" s="27">
        <f t="shared" si="4"/>
        <v>7.0400000000000004E-2</v>
      </c>
      <c r="O15" s="27">
        <f t="shared" si="5"/>
        <v>7.2300000000000003E-2</v>
      </c>
    </row>
    <row r="16" spans="1:15" x14ac:dyDescent="0.2">
      <c r="A16" s="1">
        <v>13</v>
      </c>
      <c r="B16" s="1">
        <f t="shared" si="0"/>
        <v>30.8</v>
      </c>
      <c r="C16" s="27">
        <f t="shared" si="0"/>
        <v>0.1067</v>
      </c>
      <c r="E16" s="1">
        <v>13</v>
      </c>
      <c r="F16" s="1">
        <f t="shared" si="1"/>
        <v>36.9</v>
      </c>
      <c r="G16" s="27">
        <f t="shared" si="1"/>
        <v>0.13370000000000001</v>
      </c>
      <c r="I16" s="1">
        <v>13</v>
      </c>
      <c r="J16" s="1">
        <f t="shared" si="2"/>
        <v>36.200000000000003</v>
      </c>
      <c r="K16" s="27">
        <f t="shared" si="2"/>
        <v>4.5499999999999999E-2</v>
      </c>
      <c r="M16" s="27">
        <f t="shared" si="3"/>
        <v>0.1067</v>
      </c>
      <c r="N16" s="27">
        <f t="shared" si="4"/>
        <v>0.13370000000000001</v>
      </c>
      <c r="O16" s="27">
        <f t="shared" si="5"/>
        <v>4.5499999999999999E-2</v>
      </c>
    </row>
    <row r="17" spans="1:15" x14ac:dyDescent="0.2">
      <c r="A17" s="1">
        <v>14</v>
      </c>
      <c r="B17" s="1">
        <f t="shared" si="0"/>
        <v>24.6</v>
      </c>
      <c r="C17" s="27">
        <f t="shared" si="0"/>
        <v>3.9199999999999999E-2</v>
      </c>
      <c r="E17" s="1">
        <v>14</v>
      </c>
      <c r="F17" s="1">
        <f t="shared" si="1"/>
        <v>29.8</v>
      </c>
      <c r="G17" s="27">
        <f t="shared" si="1"/>
        <v>9.0700000000000003E-2</v>
      </c>
      <c r="I17" s="1">
        <v>14</v>
      </c>
      <c r="J17" s="1">
        <f t="shared" si="2"/>
        <v>29.2</v>
      </c>
      <c r="K17" s="27">
        <f t="shared" si="2"/>
        <v>4.5499999999999999E-2</v>
      </c>
      <c r="M17" s="27">
        <f t="shared" si="3"/>
        <v>3.9199999999999999E-2</v>
      </c>
      <c r="N17" s="27">
        <f t="shared" si="4"/>
        <v>9.0700000000000003E-2</v>
      </c>
      <c r="O17" s="27">
        <f t="shared" si="5"/>
        <v>4.5499999999999999E-2</v>
      </c>
    </row>
    <row r="18" spans="1:15" x14ac:dyDescent="0.2">
      <c r="A18" s="1">
        <v>15</v>
      </c>
      <c r="B18" s="1">
        <f t="shared" si="0"/>
        <v>30.4</v>
      </c>
      <c r="C18" s="27">
        <f t="shared" si="0"/>
        <v>9.69E-2</v>
      </c>
      <c r="E18" s="1">
        <v>15</v>
      </c>
      <c r="F18" s="1">
        <f t="shared" si="1"/>
        <v>36.799999999999997</v>
      </c>
      <c r="G18" s="27">
        <f t="shared" si="1"/>
        <v>6.6299999999999998E-2</v>
      </c>
      <c r="I18" s="1">
        <v>15</v>
      </c>
      <c r="J18" s="1">
        <f t="shared" si="2"/>
        <v>35.9</v>
      </c>
      <c r="K18" s="27">
        <f t="shared" si="2"/>
        <v>7.9399999999999998E-2</v>
      </c>
      <c r="M18" s="27">
        <f t="shared" si="3"/>
        <v>9.69E-2</v>
      </c>
      <c r="N18" s="27">
        <f t="shared" si="4"/>
        <v>6.6299999999999998E-2</v>
      </c>
      <c r="O18" s="27">
        <f t="shared" si="5"/>
        <v>7.9399999999999998E-2</v>
      </c>
    </row>
    <row r="19" spans="1:15" ht="41.25" x14ac:dyDescent="0.2">
      <c r="A19" s="1" t="s">
        <v>38</v>
      </c>
      <c r="B19" s="1" t="s">
        <v>44</v>
      </c>
      <c r="C19" s="27"/>
      <c r="G19" s="27"/>
      <c r="K19" s="27"/>
    </row>
    <row r="20" spans="1:15" x14ac:dyDescent="0.2">
      <c r="A20" s="1" t="s">
        <v>35</v>
      </c>
      <c r="B20" s="27">
        <f>AVERAGE(C4:C18)</f>
        <v>6.938666666666668E-2</v>
      </c>
    </row>
    <row r="21" spans="1:15" x14ac:dyDescent="0.2">
      <c r="A21" s="1" t="s">
        <v>36</v>
      </c>
      <c r="B21" s="27">
        <f>AVERAGE(G4:G18)</f>
        <v>9.0539999999999995E-2</v>
      </c>
    </row>
    <row r="22" spans="1:15" x14ac:dyDescent="0.2">
      <c r="A22" s="1" t="s">
        <v>37</v>
      </c>
      <c r="B22" s="27">
        <f>AVERAGE(K4:K18)</f>
        <v>0.10267333333333335</v>
      </c>
    </row>
    <row r="24" spans="1:15" ht="27.75" x14ac:dyDescent="0.2">
      <c r="A24" s="1" t="s">
        <v>40</v>
      </c>
      <c r="B24" s="79">
        <f>(1-B20/B21)</f>
        <v>0.23363522568293926</v>
      </c>
    </row>
    <row r="37" spans="1:14" x14ac:dyDescent="0.2">
      <c r="A37" s="1" t="s">
        <v>35</v>
      </c>
      <c r="F37" s="1" t="s">
        <v>36</v>
      </c>
      <c r="K37" s="1" t="s">
        <v>37</v>
      </c>
    </row>
    <row r="38" spans="1:14" ht="54.75" x14ac:dyDescent="0.2">
      <c r="A38" s="1" t="s">
        <v>2</v>
      </c>
      <c r="B38" s="1" t="s">
        <v>3</v>
      </c>
      <c r="C38" s="1" t="s">
        <v>6</v>
      </c>
      <c r="D38" s="1" t="s">
        <v>9</v>
      </c>
      <c r="F38" s="1" t="s">
        <v>2</v>
      </c>
      <c r="G38" s="1" t="s">
        <v>3</v>
      </c>
      <c r="H38" s="1" t="s">
        <v>6</v>
      </c>
      <c r="I38" s="1" t="s">
        <v>9</v>
      </c>
      <c r="K38" s="1" t="s">
        <v>2</v>
      </c>
      <c r="L38" s="1" t="s">
        <v>3</v>
      </c>
      <c r="M38" s="1" t="s">
        <v>6</v>
      </c>
      <c r="N38" s="1" t="s">
        <v>9</v>
      </c>
    </row>
    <row r="39" spans="1:14" x14ac:dyDescent="0.2">
      <c r="A39" s="1">
        <v>1</v>
      </c>
      <c r="B39" s="1" t="s">
        <v>15</v>
      </c>
      <c r="C39" s="1">
        <v>61.3</v>
      </c>
      <c r="D39" s="1">
        <v>0.23499999999999999</v>
      </c>
      <c r="F39" s="1">
        <v>1</v>
      </c>
      <c r="G39" s="1" t="s">
        <v>15</v>
      </c>
      <c r="H39" s="1">
        <v>73</v>
      </c>
      <c r="I39" s="1">
        <v>0.1056</v>
      </c>
      <c r="K39" s="1">
        <v>1</v>
      </c>
      <c r="L39" s="1" t="s">
        <v>15</v>
      </c>
      <c r="M39" s="1">
        <v>74.599999999999994</v>
      </c>
      <c r="N39" s="1">
        <v>0.28489999999999999</v>
      </c>
    </row>
    <row r="40" spans="1:14" x14ac:dyDescent="0.2">
      <c r="A40" s="1">
        <v>2</v>
      </c>
      <c r="B40" s="1" t="s">
        <v>15</v>
      </c>
      <c r="C40" s="1">
        <v>20</v>
      </c>
      <c r="D40" s="1">
        <v>2.93E-2</v>
      </c>
      <c r="F40" s="1">
        <v>2</v>
      </c>
      <c r="G40" s="1" t="s">
        <v>15</v>
      </c>
      <c r="H40" s="1">
        <v>16.7</v>
      </c>
      <c r="I40" s="1">
        <v>3.27E-2</v>
      </c>
      <c r="K40" s="1">
        <v>2</v>
      </c>
      <c r="L40" s="1" t="s">
        <v>15</v>
      </c>
      <c r="M40" s="1">
        <v>18</v>
      </c>
      <c r="N40" s="1">
        <v>7.4200000000000002E-2</v>
      </c>
    </row>
    <row r="41" spans="1:14" x14ac:dyDescent="0.2">
      <c r="A41" s="1">
        <v>3</v>
      </c>
      <c r="B41" s="1" t="s">
        <v>15</v>
      </c>
      <c r="C41" s="1">
        <v>25.5</v>
      </c>
      <c r="D41" s="1">
        <v>3.2300000000000002E-2</v>
      </c>
      <c r="F41" s="1">
        <v>3</v>
      </c>
      <c r="G41" s="1" t="s">
        <v>15</v>
      </c>
      <c r="H41" s="1">
        <v>24.1</v>
      </c>
      <c r="I41" s="1">
        <v>2.35E-2</v>
      </c>
      <c r="K41" s="1">
        <v>3</v>
      </c>
      <c r="L41" s="1" t="s">
        <v>15</v>
      </c>
      <c r="M41" s="1">
        <v>26.7</v>
      </c>
      <c r="N41" s="1">
        <v>2.5899999999999999E-2</v>
      </c>
    </row>
    <row r="42" spans="1:14" x14ac:dyDescent="0.2">
      <c r="A42" s="1">
        <v>4</v>
      </c>
      <c r="B42" s="1" t="s">
        <v>17</v>
      </c>
      <c r="C42" s="1">
        <v>19.2</v>
      </c>
      <c r="D42" s="1">
        <v>2.07E-2</v>
      </c>
      <c r="F42" s="1">
        <v>4</v>
      </c>
      <c r="G42" s="1" t="s">
        <v>17</v>
      </c>
      <c r="H42" s="1">
        <v>23</v>
      </c>
      <c r="I42" s="1">
        <v>7.9799999999999996E-2</v>
      </c>
      <c r="K42" s="1">
        <v>4</v>
      </c>
      <c r="L42" s="1" t="s">
        <v>17</v>
      </c>
      <c r="M42" s="1">
        <v>24.4</v>
      </c>
      <c r="N42" s="1">
        <v>9.9400000000000002E-2</v>
      </c>
    </row>
    <row r="43" spans="1:14" x14ac:dyDescent="0.2">
      <c r="A43" s="1">
        <v>5</v>
      </c>
      <c r="B43" s="1" t="s">
        <v>17</v>
      </c>
      <c r="C43" s="1">
        <v>26</v>
      </c>
      <c r="D43" s="1">
        <v>6.0999999999999999E-2</v>
      </c>
      <c r="F43" s="1">
        <v>5</v>
      </c>
      <c r="G43" s="1" t="s">
        <v>17</v>
      </c>
      <c r="H43" s="1">
        <v>35.1</v>
      </c>
      <c r="I43" s="1">
        <v>0.13500000000000001</v>
      </c>
      <c r="K43" s="1">
        <v>5</v>
      </c>
      <c r="L43" s="1" t="s">
        <v>17</v>
      </c>
      <c r="M43" s="1">
        <v>35.5</v>
      </c>
      <c r="N43" s="1">
        <v>0.2044</v>
      </c>
    </row>
    <row r="44" spans="1:14" x14ac:dyDescent="0.2">
      <c r="A44" s="1">
        <v>6</v>
      </c>
      <c r="B44" s="1" t="s">
        <v>18</v>
      </c>
      <c r="C44" s="1">
        <v>19</v>
      </c>
      <c r="D44" s="1">
        <v>1.61E-2</v>
      </c>
      <c r="F44" s="1">
        <v>6</v>
      </c>
      <c r="G44" s="1" t="s">
        <v>18</v>
      </c>
      <c r="H44" s="1">
        <v>22.9</v>
      </c>
      <c r="I44" s="1">
        <v>6.7299999999999999E-2</v>
      </c>
      <c r="K44" s="1">
        <v>6</v>
      </c>
      <c r="L44" s="1" t="s">
        <v>18</v>
      </c>
      <c r="M44" s="1">
        <v>22.5</v>
      </c>
      <c r="N44" s="1">
        <v>7.5200000000000003E-2</v>
      </c>
    </row>
    <row r="45" spans="1:14" x14ac:dyDescent="0.2">
      <c r="A45" s="1">
        <v>7</v>
      </c>
      <c r="B45" s="1" t="s">
        <v>18</v>
      </c>
      <c r="C45" s="1">
        <v>26.1</v>
      </c>
      <c r="D45" s="1">
        <v>8.9300000000000004E-2</v>
      </c>
      <c r="F45" s="1">
        <v>7</v>
      </c>
      <c r="G45" s="1" t="s">
        <v>18</v>
      </c>
      <c r="H45" s="1">
        <v>31.3</v>
      </c>
      <c r="I45" s="1">
        <v>0.12230000000000001</v>
      </c>
      <c r="K45" s="1">
        <v>7</v>
      </c>
      <c r="L45" s="1" t="s">
        <v>18</v>
      </c>
      <c r="M45" s="1">
        <v>30.8</v>
      </c>
      <c r="N45" s="1">
        <v>0.11849999999999999</v>
      </c>
    </row>
    <row r="46" spans="1:14" x14ac:dyDescent="0.2">
      <c r="A46" s="1">
        <v>8</v>
      </c>
      <c r="B46" s="1" t="s">
        <v>19</v>
      </c>
      <c r="C46" s="1">
        <v>19</v>
      </c>
      <c r="D46" s="1">
        <v>5.8700000000000002E-2</v>
      </c>
      <c r="F46" s="1">
        <v>8</v>
      </c>
      <c r="G46" s="1" t="s">
        <v>19</v>
      </c>
      <c r="H46" s="1">
        <v>23</v>
      </c>
      <c r="I46" s="1">
        <v>8.14E-2</v>
      </c>
      <c r="K46" s="1">
        <v>8</v>
      </c>
      <c r="L46" s="1" t="s">
        <v>19</v>
      </c>
      <c r="M46" s="1">
        <v>22.6</v>
      </c>
      <c r="N46" s="1">
        <v>4.0099999999999997E-2</v>
      </c>
    </row>
    <row r="47" spans="1:14" x14ac:dyDescent="0.2">
      <c r="A47" s="1">
        <v>9</v>
      </c>
      <c r="B47" s="1" t="s">
        <v>19</v>
      </c>
      <c r="C47" s="1">
        <v>25.6</v>
      </c>
      <c r="D47" s="1">
        <v>2.5600000000000001E-2</v>
      </c>
      <c r="F47" s="1">
        <v>9</v>
      </c>
      <c r="G47" s="1" t="s">
        <v>19</v>
      </c>
      <c r="H47" s="1">
        <v>31</v>
      </c>
      <c r="I47" s="1">
        <v>0.1101</v>
      </c>
      <c r="K47" s="1">
        <v>9</v>
      </c>
      <c r="L47" s="1" t="s">
        <v>19</v>
      </c>
      <c r="M47" s="1">
        <v>30.5</v>
      </c>
      <c r="N47" s="1">
        <v>0.12039999999999999</v>
      </c>
    </row>
    <row r="48" spans="1:14" x14ac:dyDescent="0.2">
      <c r="A48" s="1">
        <v>10</v>
      </c>
      <c r="B48" s="1" t="s">
        <v>17</v>
      </c>
      <c r="C48" s="1">
        <v>24.5</v>
      </c>
      <c r="D48" s="1">
        <v>7.9100000000000004E-2</v>
      </c>
      <c r="F48" s="1">
        <v>10</v>
      </c>
      <c r="G48" s="1" t="s">
        <v>17</v>
      </c>
      <c r="H48" s="1">
        <v>29.6</v>
      </c>
      <c r="I48" s="1">
        <v>0.1157</v>
      </c>
      <c r="K48" s="1">
        <v>10</v>
      </c>
      <c r="L48" s="1" t="s">
        <v>17</v>
      </c>
      <c r="M48" s="1">
        <v>29.2</v>
      </c>
      <c r="N48" s="1">
        <v>8.8499999999999995E-2</v>
      </c>
    </row>
    <row r="49" spans="1:14" x14ac:dyDescent="0.2">
      <c r="A49" s="1">
        <v>11</v>
      </c>
      <c r="B49" s="1" t="s">
        <v>17</v>
      </c>
      <c r="C49" s="1">
        <v>30.8</v>
      </c>
      <c r="D49" s="1">
        <v>0.13070000000000001</v>
      </c>
      <c r="F49" s="1">
        <v>11</v>
      </c>
      <c r="G49" s="1" t="s">
        <v>17</v>
      </c>
      <c r="H49" s="1">
        <v>36.9</v>
      </c>
      <c r="I49" s="1">
        <v>0.1236</v>
      </c>
      <c r="K49" s="1">
        <v>11</v>
      </c>
      <c r="L49" s="1" t="s">
        <v>17</v>
      </c>
      <c r="M49" s="1">
        <v>36.1</v>
      </c>
      <c r="N49" s="1">
        <v>0.16589999999999999</v>
      </c>
    </row>
    <row r="50" spans="1:14" x14ac:dyDescent="0.2">
      <c r="A50" s="1">
        <v>12</v>
      </c>
      <c r="B50" s="1" t="s">
        <v>18</v>
      </c>
      <c r="C50" s="1">
        <v>24.6</v>
      </c>
      <c r="D50" s="1">
        <v>2.0199999999999999E-2</v>
      </c>
      <c r="F50" s="1">
        <v>12</v>
      </c>
      <c r="G50" s="1" t="s">
        <v>18</v>
      </c>
      <c r="H50" s="1">
        <v>29.5</v>
      </c>
      <c r="I50" s="1">
        <v>7.0400000000000004E-2</v>
      </c>
      <c r="K50" s="1">
        <v>12</v>
      </c>
      <c r="L50" s="1" t="s">
        <v>18</v>
      </c>
      <c r="M50" s="1">
        <v>28.9</v>
      </c>
      <c r="N50" s="1">
        <v>7.2300000000000003E-2</v>
      </c>
    </row>
    <row r="51" spans="1:14" x14ac:dyDescent="0.2">
      <c r="A51" s="1">
        <v>13</v>
      </c>
      <c r="B51" s="1" t="s">
        <v>18</v>
      </c>
      <c r="C51" s="1">
        <v>30.8</v>
      </c>
      <c r="D51" s="1">
        <v>0.1067</v>
      </c>
      <c r="F51" s="1">
        <v>13</v>
      </c>
      <c r="G51" s="1" t="s">
        <v>18</v>
      </c>
      <c r="H51" s="1">
        <v>36.9</v>
      </c>
      <c r="I51" s="1">
        <v>0.13370000000000001</v>
      </c>
      <c r="K51" s="1">
        <v>13</v>
      </c>
      <c r="L51" s="1" t="s">
        <v>18</v>
      </c>
      <c r="M51" s="1">
        <v>36.200000000000003</v>
      </c>
      <c r="N51" s="1">
        <v>4.5499999999999999E-2</v>
      </c>
    </row>
    <row r="52" spans="1:14" x14ac:dyDescent="0.2">
      <c r="A52" s="1">
        <v>14</v>
      </c>
      <c r="B52" s="1" t="s">
        <v>19</v>
      </c>
      <c r="C52" s="1">
        <v>24.6</v>
      </c>
      <c r="D52" s="1">
        <v>3.9199999999999999E-2</v>
      </c>
      <c r="F52" s="1">
        <v>14</v>
      </c>
      <c r="G52" s="1" t="s">
        <v>19</v>
      </c>
      <c r="H52" s="1">
        <v>29.8</v>
      </c>
      <c r="I52" s="1">
        <v>9.0700000000000003E-2</v>
      </c>
      <c r="K52" s="1">
        <v>14</v>
      </c>
      <c r="L52" s="1" t="s">
        <v>19</v>
      </c>
      <c r="M52" s="1">
        <v>29.2</v>
      </c>
      <c r="N52" s="1">
        <v>4.5499999999999999E-2</v>
      </c>
    </row>
    <row r="53" spans="1:14" x14ac:dyDescent="0.2">
      <c r="A53" s="1">
        <v>15</v>
      </c>
      <c r="B53" s="1" t="s">
        <v>19</v>
      </c>
      <c r="C53" s="1">
        <v>30.4</v>
      </c>
      <c r="D53" s="1">
        <v>9.69E-2</v>
      </c>
      <c r="F53" s="1">
        <v>15</v>
      </c>
      <c r="G53" s="1" t="s">
        <v>19</v>
      </c>
      <c r="H53" s="1">
        <v>36.799999999999997</v>
      </c>
      <c r="I53" s="1">
        <v>6.6299999999999998E-2</v>
      </c>
      <c r="K53" s="1">
        <v>15</v>
      </c>
      <c r="L53" s="1" t="s">
        <v>19</v>
      </c>
      <c r="M53" s="1">
        <v>35.9</v>
      </c>
      <c r="N53" s="1">
        <v>7.9399999999999998E-2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9361-387D-4DE6-9BE2-C3E6A6FA1005}">
  <dimension ref="A2:O53"/>
  <sheetViews>
    <sheetView zoomScale="70" zoomScaleNormal="70" workbookViewId="0">
      <selection activeCell="R15" sqref="R15"/>
    </sheetView>
  </sheetViews>
  <sheetFormatPr defaultColWidth="9.14453125" defaultRowHeight="15" x14ac:dyDescent="0.2"/>
  <cols>
    <col min="1" max="1" width="11.703125" style="1" bestFit="1" customWidth="1"/>
    <col min="2" max="2" width="10.0859375" style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7.80078125" style="1" customWidth="1"/>
    <col min="16" max="18" width="9.14453125" style="1" bestFit="1" customWidth="1"/>
    <col min="19" max="19" width="9.14453125" style="1"/>
    <col min="20" max="20" width="26.23046875" style="1" bestFit="1" customWidth="1"/>
    <col min="21" max="16384" width="9.14453125" style="1"/>
  </cols>
  <sheetData>
    <row r="2" spans="1:15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</row>
    <row r="3" spans="1:15" ht="27.75" x14ac:dyDescent="0.2">
      <c r="A3" s="1" t="s">
        <v>2</v>
      </c>
      <c r="B3" s="1" t="s">
        <v>6</v>
      </c>
      <c r="C3" s="1" t="s">
        <v>10</v>
      </c>
      <c r="E3" s="1" t="s">
        <v>2</v>
      </c>
      <c r="F3" s="1" t="s">
        <v>6</v>
      </c>
      <c r="G3" s="1" t="s">
        <v>10</v>
      </c>
      <c r="I3" s="1" t="s">
        <v>2</v>
      </c>
      <c r="J3" s="1" t="s">
        <v>6</v>
      </c>
      <c r="K3" s="1" t="s">
        <v>10</v>
      </c>
      <c r="M3" s="1" t="s">
        <v>35</v>
      </c>
      <c r="N3" s="1" t="s">
        <v>36</v>
      </c>
      <c r="O3" s="1" t="s">
        <v>37</v>
      </c>
    </row>
    <row r="4" spans="1:15" x14ac:dyDescent="0.2">
      <c r="A4" s="1">
        <v>1</v>
      </c>
      <c r="B4" s="1">
        <f>C39</f>
        <v>61.3</v>
      </c>
      <c r="C4" s="27">
        <f>D39</f>
        <v>3.4478</v>
      </c>
      <c r="E4" s="1">
        <v>1</v>
      </c>
      <c r="F4" s="1">
        <f>H39</f>
        <v>73</v>
      </c>
      <c r="G4" s="27">
        <f>I39</f>
        <v>2.6981999999999999</v>
      </c>
      <c r="I4" s="1">
        <v>1</v>
      </c>
      <c r="J4" s="1">
        <f>M39</f>
        <v>74.599999999999994</v>
      </c>
      <c r="K4" s="27">
        <f>N39</f>
        <v>3.56</v>
      </c>
      <c r="M4" s="27">
        <f>C4</f>
        <v>3.4478</v>
      </c>
      <c r="N4" s="27">
        <f>G4</f>
        <v>2.6981999999999999</v>
      </c>
      <c r="O4" s="27">
        <f>K4</f>
        <v>3.56</v>
      </c>
    </row>
    <row r="5" spans="1:15" x14ac:dyDescent="0.2">
      <c r="A5" s="1">
        <v>2</v>
      </c>
      <c r="B5" s="1">
        <f t="shared" ref="B5:C18" si="0">C40</f>
        <v>20</v>
      </c>
      <c r="C5" s="27">
        <f t="shared" si="0"/>
        <v>0.68210000000000004</v>
      </c>
      <c r="E5" s="1">
        <v>2</v>
      </c>
      <c r="F5" s="1">
        <f t="shared" ref="F5:G18" si="1">H40</f>
        <v>16.7</v>
      </c>
      <c r="G5" s="27">
        <f t="shared" si="1"/>
        <v>0.64910000000000001</v>
      </c>
      <c r="I5" s="1">
        <v>2</v>
      </c>
      <c r="J5" s="1">
        <f t="shared" ref="J5:K18" si="2">M40</f>
        <v>18</v>
      </c>
      <c r="K5" s="27">
        <f t="shared" si="2"/>
        <v>0.75680000000000003</v>
      </c>
      <c r="M5" s="27">
        <f t="shared" ref="M5:M18" si="3">C5</f>
        <v>0.68210000000000004</v>
      </c>
      <c r="N5" s="27">
        <f t="shared" ref="N5:N18" si="4">G5</f>
        <v>0.64910000000000001</v>
      </c>
      <c r="O5" s="27">
        <f t="shared" ref="O5:O18" si="5">K5</f>
        <v>0.75680000000000003</v>
      </c>
    </row>
    <row r="6" spans="1:15" x14ac:dyDescent="0.2">
      <c r="A6" s="1">
        <v>3</v>
      </c>
      <c r="B6" s="1">
        <f t="shared" si="0"/>
        <v>25.5</v>
      </c>
      <c r="C6" s="27">
        <f t="shared" si="0"/>
        <v>0.85670000000000002</v>
      </c>
      <c r="E6" s="1">
        <v>3</v>
      </c>
      <c r="F6" s="1">
        <f t="shared" si="1"/>
        <v>24.1</v>
      </c>
      <c r="G6" s="27">
        <f t="shared" si="1"/>
        <v>0.69299999999999995</v>
      </c>
      <c r="I6" s="1">
        <v>3</v>
      </c>
      <c r="J6" s="1">
        <f t="shared" si="2"/>
        <v>26.7</v>
      </c>
      <c r="K6" s="27">
        <f t="shared" si="2"/>
        <v>0.59799999999999998</v>
      </c>
      <c r="M6" s="27">
        <f t="shared" si="3"/>
        <v>0.85670000000000002</v>
      </c>
      <c r="N6" s="27">
        <f t="shared" si="4"/>
        <v>0.69299999999999995</v>
      </c>
      <c r="O6" s="27">
        <f t="shared" si="5"/>
        <v>0.59799999999999998</v>
      </c>
    </row>
    <row r="7" spans="1:15" x14ac:dyDescent="0.2">
      <c r="A7" s="1">
        <v>4</v>
      </c>
      <c r="B7" s="1">
        <f t="shared" si="0"/>
        <v>19.2</v>
      </c>
      <c r="C7" s="27">
        <f t="shared" si="0"/>
        <v>0.50519999999999998</v>
      </c>
      <c r="E7" s="1">
        <v>4</v>
      </c>
      <c r="F7" s="1">
        <f t="shared" si="1"/>
        <v>23</v>
      </c>
      <c r="G7" s="27">
        <f t="shared" si="1"/>
        <v>1.1251</v>
      </c>
      <c r="I7" s="1">
        <v>4</v>
      </c>
      <c r="J7" s="1">
        <f t="shared" si="2"/>
        <v>24.4</v>
      </c>
      <c r="K7" s="27">
        <f t="shared" si="2"/>
        <v>1.0670999999999999</v>
      </c>
      <c r="M7" s="27">
        <f t="shared" si="3"/>
        <v>0.50519999999999998</v>
      </c>
      <c r="N7" s="27">
        <f t="shared" si="4"/>
        <v>1.1251</v>
      </c>
      <c r="O7" s="27">
        <f t="shared" si="5"/>
        <v>1.0670999999999999</v>
      </c>
    </row>
    <row r="8" spans="1:15" x14ac:dyDescent="0.2">
      <c r="A8" s="1">
        <v>5</v>
      </c>
      <c r="B8" s="1">
        <f t="shared" si="0"/>
        <v>26</v>
      </c>
      <c r="C8" s="27">
        <f t="shared" si="0"/>
        <v>0.88429999999999997</v>
      </c>
      <c r="E8" s="1">
        <v>5</v>
      </c>
      <c r="F8" s="1">
        <f t="shared" si="1"/>
        <v>35.1</v>
      </c>
      <c r="G8" s="27">
        <f t="shared" si="1"/>
        <v>1.7471000000000001</v>
      </c>
      <c r="I8" s="1">
        <v>5</v>
      </c>
      <c r="J8" s="1">
        <f t="shared" si="2"/>
        <v>35.5</v>
      </c>
      <c r="K8" s="27">
        <f t="shared" si="2"/>
        <v>1.5927</v>
      </c>
      <c r="M8" s="27">
        <f t="shared" si="3"/>
        <v>0.88429999999999997</v>
      </c>
      <c r="N8" s="27">
        <f t="shared" si="4"/>
        <v>1.7471000000000001</v>
      </c>
      <c r="O8" s="27">
        <f t="shared" si="5"/>
        <v>1.5927</v>
      </c>
    </row>
    <row r="9" spans="1:15" x14ac:dyDescent="0.2">
      <c r="A9" s="1">
        <v>6</v>
      </c>
      <c r="B9" s="1">
        <f t="shared" si="0"/>
        <v>19</v>
      </c>
      <c r="C9" s="27">
        <f t="shared" si="0"/>
        <v>0.4627</v>
      </c>
      <c r="E9" s="1">
        <v>6</v>
      </c>
      <c r="F9" s="1">
        <f t="shared" si="1"/>
        <v>22.9</v>
      </c>
      <c r="G9" s="27">
        <f t="shared" si="1"/>
        <v>1.1477999999999999</v>
      </c>
      <c r="I9" s="1">
        <v>6</v>
      </c>
      <c r="J9" s="1">
        <f t="shared" si="2"/>
        <v>22.5</v>
      </c>
      <c r="K9" s="27">
        <f t="shared" si="2"/>
        <v>0.85489999999999999</v>
      </c>
      <c r="M9" s="27">
        <f t="shared" si="3"/>
        <v>0.4627</v>
      </c>
      <c r="N9" s="27">
        <f t="shared" si="4"/>
        <v>1.1477999999999999</v>
      </c>
      <c r="O9" s="27">
        <f t="shared" si="5"/>
        <v>0.85489999999999999</v>
      </c>
    </row>
    <row r="10" spans="1:15" x14ac:dyDescent="0.2">
      <c r="A10" s="1">
        <v>7</v>
      </c>
      <c r="B10" s="1">
        <f t="shared" si="0"/>
        <v>26.1</v>
      </c>
      <c r="C10" s="27">
        <f t="shared" si="0"/>
        <v>1.1915</v>
      </c>
      <c r="E10" s="1">
        <v>7</v>
      </c>
      <c r="F10" s="1">
        <f t="shared" si="1"/>
        <v>31.3</v>
      </c>
      <c r="G10" s="27">
        <f t="shared" si="1"/>
        <v>1.7310000000000001</v>
      </c>
      <c r="I10" s="1">
        <v>7</v>
      </c>
      <c r="J10" s="1">
        <f t="shared" si="2"/>
        <v>30.8</v>
      </c>
      <c r="K10" s="27">
        <f t="shared" si="2"/>
        <v>1.2203999999999999</v>
      </c>
      <c r="M10" s="27">
        <f t="shared" si="3"/>
        <v>1.1915</v>
      </c>
      <c r="N10" s="27">
        <f t="shared" si="4"/>
        <v>1.7310000000000001</v>
      </c>
      <c r="O10" s="27">
        <f t="shared" si="5"/>
        <v>1.2203999999999999</v>
      </c>
    </row>
    <row r="11" spans="1:15" x14ac:dyDescent="0.2">
      <c r="A11" s="1">
        <v>8</v>
      </c>
      <c r="B11" s="1">
        <f t="shared" si="0"/>
        <v>19</v>
      </c>
      <c r="C11" s="27">
        <f t="shared" si="0"/>
        <v>0.8357</v>
      </c>
      <c r="E11" s="1">
        <v>8</v>
      </c>
      <c r="F11" s="1">
        <f t="shared" si="1"/>
        <v>23</v>
      </c>
      <c r="G11" s="27">
        <f t="shared" si="1"/>
        <v>1.2306999999999999</v>
      </c>
      <c r="I11" s="1">
        <v>8</v>
      </c>
      <c r="J11" s="1">
        <f t="shared" si="2"/>
        <v>22.6</v>
      </c>
      <c r="K11" s="27">
        <f t="shared" si="2"/>
        <v>0.63260000000000005</v>
      </c>
      <c r="M11" s="27">
        <f t="shared" si="3"/>
        <v>0.8357</v>
      </c>
      <c r="N11" s="27">
        <f t="shared" si="4"/>
        <v>1.2306999999999999</v>
      </c>
      <c r="O11" s="27">
        <f t="shared" si="5"/>
        <v>0.63260000000000005</v>
      </c>
    </row>
    <row r="12" spans="1:15" x14ac:dyDescent="0.2">
      <c r="A12" s="1">
        <v>9</v>
      </c>
      <c r="B12" s="1">
        <f t="shared" si="0"/>
        <v>25.6</v>
      </c>
      <c r="C12" s="27">
        <f t="shared" si="0"/>
        <v>0.60750000000000004</v>
      </c>
      <c r="E12" s="1">
        <v>9</v>
      </c>
      <c r="F12" s="1">
        <f t="shared" si="1"/>
        <v>31</v>
      </c>
      <c r="G12" s="27">
        <f t="shared" si="1"/>
        <v>1.5125999999999999</v>
      </c>
      <c r="I12" s="1">
        <v>9</v>
      </c>
      <c r="J12" s="1">
        <f t="shared" si="2"/>
        <v>30.5</v>
      </c>
      <c r="K12" s="27">
        <f t="shared" si="2"/>
        <v>1.1698999999999999</v>
      </c>
      <c r="M12" s="27">
        <f t="shared" si="3"/>
        <v>0.60750000000000004</v>
      </c>
      <c r="N12" s="27">
        <f t="shared" si="4"/>
        <v>1.5125999999999999</v>
      </c>
      <c r="O12" s="27">
        <f t="shared" si="5"/>
        <v>1.1698999999999999</v>
      </c>
    </row>
    <row r="13" spans="1:15" x14ac:dyDescent="0.2">
      <c r="A13" s="1">
        <v>10</v>
      </c>
      <c r="B13" s="1">
        <f t="shared" si="0"/>
        <v>24.5</v>
      </c>
      <c r="C13" s="27">
        <f t="shared" si="0"/>
        <v>1.1189</v>
      </c>
      <c r="E13" s="1">
        <v>10</v>
      </c>
      <c r="F13" s="1">
        <f t="shared" si="1"/>
        <v>29.6</v>
      </c>
      <c r="G13" s="27">
        <f t="shared" si="1"/>
        <v>1.7043999999999999</v>
      </c>
      <c r="I13" s="1">
        <v>10</v>
      </c>
      <c r="J13" s="1">
        <f t="shared" si="2"/>
        <v>29.2</v>
      </c>
      <c r="K13" s="27">
        <f t="shared" si="2"/>
        <v>1.1033999999999999</v>
      </c>
      <c r="M13" s="27">
        <f t="shared" si="3"/>
        <v>1.1189</v>
      </c>
      <c r="N13" s="27">
        <f t="shared" si="4"/>
        <v>1.7043999999999999</v>
      </c>
      <c r="O13" s="27">
        <f t="shared" si="5"/>
        <v>1.1033999999999999</v>
      </c>
    </row>
    <row r="14" spans="1:15" x14ac:dyDescent="0.2">
      <c r="A14" s="1">
        <v>11</v>
      </c>
      <c r="B14" s="1">
        <f t="shared" si="0"/>
        <v>30.8</v>
      </c>
      <c r="C14" s="27">
        <f t="shared" si="0"/>
        <v>1.518</v>
      </c>
      <c r="E14" s="1">
        <v>11</v>
      </c>
      <c r="F14" s="1">
        <f t="shared" si="1"/>
        <v>36.9</v>
      </c>
      <c r="G14" s="27">
        <f t="shared" si="1"/>
        <v>1.7942</v>
      </c>
      <c r="I14" s="1">
        <v>11</v>
      </c>
      <c r="J14" s="1">
        <f t="shared" si="2"/>
        <v>36.1</v>
      </c>
      <c r="K14" s="27">
        <f t="shared" si="2"/>
        <v>1.4641999999999999</v>
      </c>
      <c r="M14" s="27">
        <f t="shared" si="3"/>
        <v>1.518</v>
      </c>
      <c r="N14" s="27">
        <f t="shared" si="4"/>
        <v>1.7942</v>
      </c>
      <c r="O14" s="27">
        <f t="shared" si="5"/>
        <v>1.4641999999999999</v>
      </c>
    </row>
    <row r="15" spans="1:15" x14ac:dyDescent="0.2">
      <c r="A15" s="1">
        <v>12</v>
      </c>
      <c r="B15" s="1">
        <f t="shared" si="0"/>
        <v>24.6</v>
      </c>
      <c r="C15" s="27">
        <f t="shared" si="0"/>
        <v>0.60750000000000004</v>
      </c>
      <c r="E15" s="1">
        <v>12</v>
      </c>
      <c r="F15" s="1">
        <f t="shared" si="1"/>
        <v>29.5</v>
      </c>
      <c r="G15" s="27">
        <f t="shared" si="1"/>
        <v>1.35</v>
      </c>
      <c r="I15" s="1">
        <v>12</v>
      </c>
      <c r="J15" s="1">
        <f t="shared" si="2"/>
        <v>28.9</v>
      </c>
      <c r="K15" s="27">
        <f t="shared" si="2"/>
        <v>1.0248999999999999</v>
      </c>
      <c r="M15" s="27">
        <f t="shared" si="3"/>
        <v>0.60750000000000004</v>
      </c>
      <c r="N15" s="27">
        <f t="shared" si="4"/>
        <v>1.35</v>
      </c>
      <c r="O15" s="27">
        <f t="shared" si="5"/>
        <v>1.0248999999999999</v>
      </c>
    </row>
    <row r="16" spans="1:15" x14ac:dyDescent="0.2">
      <c r="A16" s="1">
        <v>13</v>
      </c>
      <c r="B16" s="1">
        <f t="shared" si="0"/>
        <v>30.8</v>
      </c>
      <c r="C16" s="27">
        <f t="shared" si="0"/>
        <v>1.4839</v>
      </c>
      <c r="E16" s="1">
        <v>13</v>
      </c>
      <c r="F16" s="1">
        <f t="shared" si="1"/>
        <v>36.9</v>
      </c>
      <c r="G16" s="27">
        <f t="shared" si="1"/>
        <v>2.0055999999999998</v>
      </c>
      <c r="I16" s="1">
        <v>13</v>
      </c>
      <c r="J16" s="1">
        <f t="shared" si="2"/>
        <v>36.200000000000003</v>
      </c>
      <c r="K16" s="27">
        <f t="shared" si="2"/>
        <v>0.92620000000000002</v>
      </c>
      <c r="M16" s="27">
        <f t="shared" si="3"/>
        <v>1.4839</v>
      </c>
      <c r="N16" s="27">
        <f t="shared" si="4"/>
        <v>2.0055999999999998</v>
      </c>
      <c r="O16" s="27">
        <f t="shared" si="5"/>
        <v>0.92620000000000002</v>
      </c>
    </row>
    <row r="17" spans="1:15" x14ac:dyDescent="0.2">
      <c r="A17" s="1">
        <v>14</v>
      </c>
      <c r="B17" s="1">
        <f t="shared" si="0"/>
        <v>24.6</v>
      </c>
      <c r="C17" s="27">
        <f t="shared" si="0"/>
        <v>0.81379999999999997</v>
      </c>
      <c r="E17" s="1">
        <v>14</v>
      </c>
      <c r="F17" s="1">
        <f t="shared" si="1"/>
        <v>29.8</v>
      </c>
      <c r="G17" s="27">
        <f t="shared" si="1"/>
        <v>1.4959</v>
      </c>
      <c r="I17" s="1">
        <v>14</v>
      </c>
      <c r="J17" s="1">
        <f t="shared" si="2"/>
        <v>29.2</v>
      </c>
      <c r="K17" s="27">
        <f t="shared" si="2"/>
        <v>0.82030000000000003</v>
      </c>
      <c r="M17" s="27">
        <f t="shared" si="3"/>
        <v>0.81379999999999997</v>
      </c>
      <c r="N17" s="27">
        <f t="shared" si="4"/>
        <v>1.4959</v>
      </c>
      <c r="O17" s="27">
        <f t="shared" si="5"/>
        <v>0.82030000000000003</v>
      </c>
    </row>
    <row r="18" spans="1:15" x14ac:dyDescent="0.2">
      <c r="A18" s="1">
        <v>15</v>
      </c>
      <c r="B18" s="1">
        <f t="shared" si="0"/>
        <v>30.4</v>
      </c>
      <c r="C18" s="27">
        <f t="shared" si="0"/>
        <v>1.3223</v>
      </c>
      <c r="E18" s="1">
        <v>15</v>
      </c>
      <c r="F18" s="1">
        <f t="shared" si="1"/>
        <v>36.799999999999997</v>
      </c>
      <c r="G18" s="27">
        <f t="shared" si="1"/>
        <v>1.401</v>
      </c>
      <c r="I18" s="1">
        <v>15</v>
      </c>
      <c r="J18" s="1">
        <f t="shared" si="2"/>
        <v>35.9</v>
      </c>
      <c r="K18" s="27">
        <f t="shared" si="2"/>
        <v>1.1318999999999999</v>
      </c>
      <c r="M18" s="27">
        <f t="shared" si="3"/>
        <v>1.3223</v>
      </c>
      <c r="N18" s="27">
        <f t="shared" si="4"/>
        <v>1.401</v>
      </c>
      <c r="O18" s="27">
        <f t="shared" si="5"/>
        <v>1.1318999999999999</v>
      </c>
    </row>
    <row r="19" spans="1:15" ht="41.25" x14ac:dyDescent="0.2">
      <c r="A19" s="1" t="s">
        <v>38</v>
      </c>
      <c r="B19" s="1" t="s">
        <v>45</v>
      </c>
      <c r="C19" s="27"/>
      <c r="G19" s="27"/>
      <c r="K19" s="27"/>
    </row>
    <row r="20" spans="1:15" x14ac:dyDescent="0.2">
      <c r="A20" s="1" t="s">
        <v>35</v>
      </c>
      <c r="B20" s="27">
        <f>AVERAGE(C4:C18)</f>
        <v>1.0891933333333335</v>
      </c>
    </row>
    <row r="21" spans="1:15" x14ac:dyDescent="0.2">
      <c r="A21" s="1" t="s">
        <v>36</v>
      </c>
      <c r="B21" s="27">
        <f>AVERAGE(G4:G18)</f>
        <v>1.4857133333333334</v>
      </c>
    </row>
    <row r="22" spans="1:15" x14ac:dyDescent="0.2">
      <c r="A22" s="1" t="s">
        <v>37</v>
      </c>
      <c r="B22" s="27">
        <f>AVERAGE(K4:K18)</f>
        <v>1.1948866666666664</v>
      </c>
    </row>
    <row r="24" spans="1:15" ht="27.75" x14ac:dyDescent="0.2">
      <c r="A24" s="1" t="s">
        <v>40</v>
      </c>
      <c r="B24" s="79">
        <f>(1-B20/B21)</f>
        <v>0.26688863262091833</v>
      </c>
    </row>
    <row r="37" spans="1:14" x14ac:dyDescent="0.2">
      <c r="A37" s="1" t="s">
        <v>35</v>
      </c>
      <c r="F37" s="1" t="s">
        <v>36</v>
      </c>
      <c r="K37" s="1" t="s">
        <v>37</v>
      </c>
    </row>
    <row r="38" spans="1:14" ht="41.25" x14ac:dyDescent="0.2">
      <c r="A38" s="1" t="s">
        <v>2</v>
      </c>
      <c r="B38" s="1" t="s">
        <v>3</v>
      </c>
      <c r="C38" s="1" t="s">
        <v>6</v>
      </c>
      <c r="D38" s="1" t="s">
        <v>10</v>
      </c>
      <c r="F38" s="1" t="s">
        <v>2</v>
      </c>
      <c r="G38" s="1" t="s">
        <v>3</v>
      </c>
      <c r="H38" s="1" t="s">
        <v>6</v>
      </c>
      <c r="I38" s="1" t="s">
        <v>10</v>
      </c>
      <c r="K38" s="1" t="s">
        <v>2</v>
      </c>
      <c r="L38" s="1" t="s">
        <v>3</v>
      </c>
      <c r="M38" s="1" t="s">
        <v>6</v>
      </c>
      <c r="N38" s="1" t="s">
        <v>10</v>
      </c>
    </row>
    <row r="39" spans="1:14" x14ac:dyDescent="0.2">
      <c r="A39" s="1">
        <v>1</v>
      </c>
      <c r="B39" s="1" t="s">
        <v>15</v>
      </c>
      <c r="C39" s="1">
        <v>61.3</v>
      </c>
      <c r="D39" s="1">
        <v>3.4478</v>
      </c>
      <c r="F39" s="1">
        <v>1</v>
      </c>
      <c r="G39" s="1" t="s">
        <v>15</v>
      </c>
      <c r="H39" s="1">
        <v>73</v>
      </c>
      <c r="I39" s="1">
        <v>2.6981999999999999</v>
      </c>
      <c r="K39" s="1">
        <v>1</v>
      </c>
      <c r="L39" s="1" t="s">
        <v>15</v>
      </c>
      <c r="M39" s="1">
        <v>74.599999999999994</v>
      </c>
      <c r="N39" s="1">
        <v>3.56</v>
      </c>
    </row>
    <row r="40" spans="1:14" x14ac:dyDescent="0.2">
      <c r="A40" s="1">
        <v>2</v>
      </c>
      <c r="B40" s="1" t="s">
        <v>15</v>
      </c>
      <c r="C40" s="1">
        <v>20</v>
      </c>
      <c r="D40" s="1">
        <v>0.68210000000000004</v>
      </c>
      <c r="F40" s="1">
        <v>2</v>
      </c>
      <c r="G40" s="1" t="s">
        <v>15</v>
      </c>
      <c r="H40" s="1">
        <v>16.7</v>
      </c>
      <c r="I40" s="1">
        <v>0.64910000000000001</v>
      </c>
      <c r="K40" s="1">
        <v>2</v>
      </c>
      <c r="L40" s="1" t="s">
        <v>15</v>
      </c>
      <c r="M40" s="1">
        <v>18</v>
      </c>
      <c r="N40" s="1">
        <v>0.75680000000000003</v>
      </c>
    </row>
    <row r="41" spans="1:14" x14ac:dyDescent="0.2">
      <c r="A41" s="1">
        <v>3</v>
      </c>
      <c r="B41" s="1" t="s">
        <v>15</v>
      </c>
      <c r="C41" s="1">
        <v>25.5</v>
      </c>
      <c r="D41" s="1">
        <v>0.85670000000000002</v>
      </c>
      <c r="F41" s="1">
        <v>3</v>
      </c>
      <c r="G41" s="1" t="s">
        <v>15</v>
      </c>
      <c r="H41" s="1">
        <v>24.1</v>
      </c>
      <c r="I41" s="1">
        <v>0.69299999999999995</v>
      </c>
      <c r="K41" s="1">
        <v>3</v>
      </c>
      <c r="L41" s="1" t="s">
        <v>15</v>
      </c>
      <c r="M41" s="1">
        <v>26.7</v>
      </c>
      <c r="N41" s="1">
        <v>0.59799999999999998</v>
      </c>
    </row>
    <row r="42" spans="1:14" x14ac:dyDescent="0.2">
      <c r="A42" s="1">
        <v>4</v>
      </c>
      <c r="B42" s="1" t="s">
        <v>17</v>
      </c>
      <c r="C42" s="1">
        <v>19.2</v>
      </c>
      <c r="D42" s="1">
        <v>0.50519999999999998</v>
      </c>
      <c r="F42" s="1">
        <v>4</v>
      </c>
      <c r="G42" s="1" t="s">
        <v>17</v>
      </c>
      <c r="H42" s="1">
        <v>23</v>
      </c>
      <c r="I42" s="1">
        <v>1.1251</v>
      </c>
      <c r="K42" s="1">
        <v>4</v>
      </c>
      <c r="L42" s="1" t="s">
        <v>17</v>
      </c>
      <c r="M42" s="1">
        <v>24.4</v>
      </c>
      <c r="N42" s="1">
        <v>1.0670999999999999</v>
      </c>
    </row>
    <row r="43" spans="1:14" x14ac:dyDescent="0.2">
      <c r="A43" s="1">
        <v>5</v>
      </c>
      <c r="B43" s="1" t="s">
        <v>17</v>
      </c>
      <c r="C43" s="1">
        <v>26</v>
      </c>
      <c r="D43" s="1">
        <v>0.88429999999999997</v>
      </c>
      <c r="F43" s="1">
        <v>5</v>
      </c>
      <c r="G43" s="1" t="s">
        <v>17</v>
      </c>
      <c r="H43" s="1">
        <v>35.1</v>
      </c>
      <c r="I43" s="1">
        <v>1.7471000000000001</v>
      </c>
      <c r="K43" s="1">
        <v>5</v>
      </c>
      <c r="L43" s="1" t="s">
        <v>17</v>
      </c>
      <c r="M43" s="1">
        <v>35.5</v>
      </c>
      <c r="N43" s="1">
        <v>1.5927</v>
      </c>
    </row>
    <row r="44" spans="1:14" x14ac:dyDescent="0.2">
      <c r="A44" s="1">
        <v>6</v>
      </c>
      <c r="B44" s="1" t="s">
        <v>18</v>
      </c>
      <c r="C44" s="1">
        <v>19</v>
      </c>
      <c r="D44" s="1">
        <v>0.4627</v>
      </c>
      <c r="F44" s="1">
        <v>6</v>
      </c>
      <c r="G44" s="1" t="s">
        <v>18</v>
      </c>
      <c r="H44" s="1">
        <v>22.9</v>
      </c>
      <c r="I44" s="1">
        <v>1.1477999999999999</v>
      </c>
      <c r="K44" s="1">
        <v>6</v>
      </c>
      <c r="L44" s="1" t="s">
        <v>18</v>
      </c>
      <c r="M44" s="1">
        <v>22.5</v>
      </c>
      <c r="N44" s="1">
        <v>0.85489999999999999</v>
      </c>
    </row>
    <row r="45" spans="1:14" x14ac:dyDescent="0.2">
      <c r="A45" s="1">
        <v>7</v>
      </c>
      <c r="B45" s="1" t="s">
        <v>18</v>
      </c>
      <c r="C45" s="1">
        <v>26.1</v>
      </c>
      <c r="D45" s="1">
        <v>1.1915</v>
      </c>
      <c r="F45" s="1">
        <v>7</v>
      </c>
      <c r="G45" s="1" t="s">
        <v>18</v>
      </c>
      <c r="H45" s="1">
        <v>31.3</v>
      </c>
      <c r="I45" s="1">
        <v>1.7310000000000001</v>
      </c>
      <c r="K45" s="1">
        <v>7</v>
      </c>
      <c r="L45" s="1" t="s">
        <v>18</v>
      </c>
      <c r="M45" s="1">
        <v>30.8</v>
      </c>
      <c r="N45" s="1">
        <v>1.2203999999999999</v>
      </c>
    </row>
    <row r="46" spans="1:14" x14ac:dyDescent="0.2">
      <c r="A46" s="1">
        <v>8</v>
      </c>
      <c r="B46" s="1" t="s">
        <v>19</v>
      </c>
      <c r="C46" s="1">
        <v>19</v>
      </c>
      <c r="D46" s="1">
        <v>0.8357</v>
      </c>
      <c r="F46" s="1">
        <v>8</v>
      </c>
      <c r="G46" s="1" t="s">
        <v>19</v>
      </c>
      <c r="H46" s="1">
        <v>23</v>
      </c>
      <c r="I46" s="1">
        <v>1.2306999999999999</v>
      </c>
      <c r="K46" s="1">
        <v>8</v>
      </c>
      <c r="L46" s="1" t="s">
        <v>19</v>
      </c>
      <c r="M46" s="1">
        <v>22.6</v>
      </c>
      <c r="N46" s="1">
        <v>0.63260000000000005</v>
      </c>
    </row>
    <row r="47" spans="1:14" x14ac:dyDescent="0.2">
      <c r="A47" s="1">
        <v>9</v>
      </c>
      <c r="B47" s="1" t="s">
        <v>19</v>
      </c>
      <c r="C47" s="1">
        <v>25.6</v>
      </c>
      <c r="D47" s="1">
        <v>0.60750000000000004</v>
      </c>
      <c r="F47" s="1">
        <v>9</v>
      </c>
      <c r="G47" s="1" t="s">
        <v>19</v>
      </c>
      <c r="H47" s="1">
        <v>31</v>
      </c>
      <c r="I47" s="1">
        <v>1.5125999999999999</v>
      </c>
      <c r="K47" s="1">
        <v>9</v>
      </c>
      <c r="L47" s="1" t="s">
        <v>19</v>
      </c>
      <c r="M47" s="1">
        <v>30.5</v>
      </c>
      <c r="N47" s="1">
        <v>1.1698999999999999</v>
      </c>
    </row>
    <row r="48" spans="1:14" x14ac:dyDescent="0.2">
      <c r="A48" s="1">
        <v>10</v>
      </c>
      <c r="B48" s="1" t="s">
        <v>17</v>
      </c>
      <c r="C48" s="1">
        <v>24.5</v>
      </c>
      <c r="D48" s="1">
        <v>1.1189</v>
      </c>
      <c r="F48" s="1">
        <v>10</v>
      </c>
      <c r="G48" s="1" t="s">
        <v>17</v>
      </c>
      <c r="H48" s="1">
        <v>29.6</v>
      </c>
      <c r="I48" s="1">
        <v>1.7043999999999999</v>
      </c>
      <c r="K48" s="1">
        <v>10</v>
      </c>
      <c r="L48" s="1" t="s">
        <v>17</v>
      </c>
      <c r="M48" s="1">
        <v>29.2</v>
      </c>
      <c r="N48" s="1">
        <v>1.1033999999999999</v>
      </c>
    </row>
    <row r="49" spans="1:14" x14ac:dyDescent="0.2">
      <c r="A49" s="1">
        <v>11</v>
      </c>
      <c r="B49" s="1" t="s">
        <v>17</v>
      </c>
      <c r="C49" s="1">
        <v>30.8</v>
      </c>
      <c r="D49" s="1">
        <v>1.518</v>
      </c>
      <c r="F49" s="1">
        <v>11</v>
      </c>
      <c r="G49" s="1" t="s">
        <v>17</v>
      </c>
      <c r="H49" s="1">
        <v>36.9</v>
      </c>
      <c r="I49" s="1">
        <v>1.7942</v>
      </c>
      <c r="K49" s="1">
        <v>11</v>
      </c>
      <c r="L49" s="1" t="s">
        <v>17</v>
      </c>
      <c r="M49" s="1">
        <v>36.1</v>
      </c>
      <c r="N49" s="1">
        <v>1.4641999999999999</v>
      </c>
    </row>
    <row r="50" spans="1:14" x14ac:dyDescent="0.2">
      <c r="A50" s="1">
        <v>12</v>
      </c>
      <c r="B50" s="1" t="s">
        <v>18</v>
      </c>
      <c r="C50" s="1">
        <v>24.6</v>
      </c>
      <c r="D50" s="1">
        <v>0.60750000000000004</v>
      </c>
      <c r="F50" s="1">
        <v>12</v>
      </c>
      <c r="G50" s="1" t="s">
        <v>18</v>
      </c>
      <c r="H50" s="1">
        <v>29.5</v>
      </c>
      <c r="I50" s="1">
        <v>1.35</v>
      </c>
      <c r="K50" s="1">
        <v>12</v>
      </c>
      <c r="L50" s="1" t="s">
        <v>18</v>
      </c>
      <c r="M50" s="1">
        <v>28.9</v>
      </c>
      <c r="N50" s="1">
        <v>1.0248999999999999</v>
      </c>
    </row>
    <row r="51" spans="1:14" x14ac:dyDescent="0.2">
      <c r="A51" s="1">
        <v>13</v>
      </c>
      <c r="B51" s="1" t="s">
        <v>18</v>
      </c>
      <c r="C51" s="1">
        <v>30.8</v>
      </c>
      <c r="D51" s="1">
        <v>1.4839</v>
      </c>
      <c r="F51" s="1">
        <v>13</v>
      </c>
      <c r="G51" s="1" t="s">
        <v>18</v>
      </c>
      <c r="H51" s="1">
        <v>36.9</v>
      </c>
      <c r="I51" s="1">
        <v>2.0055999999999998</v>
      </c>
      <c r="K51" s="1">
        <v>13</v>
      </c>
      <c r="L51" s="1" t="s">
        <v>18</v>
      </c>
      <c r="M51" s="1">
        <v>36.200000000000003</v>
      </c>
      <c r="N51" s="1">
        <v>0.92620000000000002</v>
      </c>
    </row>
    <row r="52" spans="1:14" x14ac:dyDescent="0.2">
      <c r="A52" s="1">
        <v>14</v>
      </c>
      <c r="B52" s="1" t="s">
        <v>19</v>
      </c>
      <c r="C52" s="1">
        <v>24.6</v>
      </c>
      <c r="D52" s="1">
        <v>0.81379999999999997</v>
      </c>
      <c r="F52" s="1">
        <v>14</v>
      </c>
      <c r="G52" s="1" t="s">
        <v>19</v>
      </c>
      <c r="H52" s="1">
        <v>29.8</v>
      </c>
      <c r="I52" s="1">
        <v>1.4959</v>
      </c>
      <c r="K52" s="1">
        <v>14</v>
      </c>
      <c r="L52" s="1" t="s">
        <v>19</v>
      </c>
      <c r="M52" s="1">
        <v>29.2</v>
      </c>
      <c r="N52" s="1">
        <v>0.82030000000000003</v>
      </c>
    </row>
    <row r="53" spans="1:14" x14ac:dyDescent="0.2">
      <c r="A53" s="1">
        <v>15</v>
      </c>
      <c r="B53" s="1" t="s">
        <v>19</v>
      </c>
      <c r="C53" s="1">
        <v>30.4</v>
      </c>
      <c r="D53" s="1">
        <v>1.3223</v>
      </c>
      <c r="F53" s="1">
        <v>15</v>
      </c>
      <c r="G53" s="1" t="s">
        <v>19</v>
      </c>
      <c r="H53" s="1">
        <v>36.799999999999997</v>
      </c>
      <c r="I53" s="1">
        <v>1.401</v>
      </c>
      <c r="K53" s="1">
        <v>15</v>
      </c>
      <c r="L53" s="1" t="s">
        <v>19</v>
      </c>
      <c r="M53" s="1">
        <v>35.9</v>
      </c>
      <c r="N53" s="1">
        <v>1.1318999999999999</v>
      </c>
    </row>
  </sheetData>
  <mergeCells count="3">
    <mergeCell ref="A2:C2"/>
    <mergeCell ref="E2:G2"/>
    <mergeCell ref="I2:K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15EE-131C-4002-AC7C-5863F4209550}">
  <dimension ref="A1:V50"/>
  <sheetViews>
    <sheetView zoomScale="70" zoomScaleNormal="70" workbookViewId="0">
      <selection activeCell="W27" sqref="W27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8.203125" style="1" bestFit="1" customWidth="1"/>
    <col min="16" max="18" width="9.14453125" style="1" bestFit="1" customWidth="1"/>
    <col min="19" max="19" width="9.14453125" style="1"/>
    <col min="20" max="20" width="10.76171875" style="1" customWidth="1"/>
    <col min="21" max="16384" width="9.14453125" style="1"/>
  </cols>
  <sheetData>
    <row r="1" spans="1:22" x14ac:dyDescent="0.2">
      <c r="Q1" s="104"/>
      <c r="R1" s="104"/>
      <c r="S1" s="104"/>
    </row>
    <row r="2" spans="1:22" ht="15" customHeight="1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  <c r="Q2" s="104"/>
      <c r="R2" s="104"/>
      <c r="S2" s="104"/>
      <c r="U2" s="104" t="s">
        <v>43</v>
      </c>
      <c r="V2" s="104"/>
    </row>
    <row r="3" spans="1:22" ht="27.75" x14ac:dyDescent="0.2">
      <c r="A3" s="1" t="s">
        <v>2</v>
      </c>
      <c r="B3" s="1" t="s">
        <v>6</v>
      </c>
      <c r="C3" s="1" t="s">
        <v>7</v>
      </c>
      <c r="E3" s="1" t="s">
        <v>2</v>
      </c>
      <c r="F3" s="1" t="s">
        <v>6</v>
      </c>
      <c r="G3" s="1" t="s">
        <v>7</v>
      </c>
      <c r="I3" s="1" t="s">
        <v>2</v>
      </c>
      <c r="J3" s="1" t="s">
        <v>6</v>
      </c>
      <c r="K3" s="1" t="s">
        <v>7</v>
      </c>
      <c r="M3" s="1" t="s">
        <v>35</v>
      </c>
      <c r="N3" s="1" t="s">
        <v>36</v>
      </c>
      <c r="O3" s="1" t="s">
        <v>37</v>
      </c>
      <c r="U3" s="1">
        <v>2</v>
      </c>
      <c r="V3" s="1">
        <v>3</v>
      </c>
    </row>
    <row r="4" spans="1:22" x14ac:dyDescent="0.2">
      <c r="A4" s="1">
        <v>4</v>
      </c>
      <c r="B4" s="1">
        <f>C39</f>
        <v>19.2</v>
      </c>
      <c r="C4" s="27">
        <f>D39</f>
        <v>1.335</v>
      </c>
      <c r="E4" s="1">
        <v>4</v>
      </c>
      <c r="F4" s="1">
        <f>H39</f>
        <v>23</v>
      </c>
      <c r="G4" s="27">
        <f>I39</f>
        <v>1.7476</v>
      </c>
      <c r="I4" s="1">
        <v>4</v>
      </c>
      <c r="J4" s="1">
        <f>M39</f>
        <v>24.4</v>
      </c>
      <c r="K4" s="27">
        <f>N39</f>
        <v>2.0192000000000001</v>
      </c>
      <c r="M4" s="27">
        <f>C4</f>
        <v>1.335</v>
      </c>
      <c r="N4" s="27">
        <f t="shared" ref="N4:N15" si="0">G4</f>
        <v>1.7476</v>
      </c>
      <c r="O4" s="27">
        <f t="shared" ref="O4:O15" si="1">K4</f>
        <v>2.0192000000000001</v>
      </c>
      <c r="Q4" s="27"/>
      <c r="R4" s="27"/>
      <c r="S4" s="27"/>
      <c r="U4" s="27" cm="1">
        <f t="array" ref="U4:U9">C4:C9</f>
        <v>1.335</v>
      </c>
      <c r="V4" s="27" cm="1">
        <f t="array" ref="V4:V9">C10:C15</f>
        <v>1.8508</v>
      </c>
    </row>
    <row r="5" spans="1:22" x14ac:dyDescent="0.2">
      <c r="A5" s="1">
        <v>5</v>
      </c>
      <c r="B5" s="1">
        <f t="shared" ref="B5:C15" si="2">C40</f>
        <v>26</v>
      </c>
      <c r="C5" s="27">
        <f t="shared" si="2"/>
        <v>1.4450000000000001</v>
      </c>
      <c r="E5" s="1">
        <v>5</v>
      </c>
      <c r="F5" s="1">
        <f t="shared" ref="F5:F15" si="3">H40</f>
        <v>35.1</v>
      </c>
      <c r="G5" s="27">
        <f t="shared" ref="G5:G15" si="4">I40</f>
        <v>2.4641999999999999</v>
      </c>
      <c r="I5" s="1">
        <v>5</v>
      </c>
      <c r="J5" s="1">
        <f t="shared" ref="J5:J15" si="5">M40</f>
        <v>35.5</v>
      </c>
      <c r="K5" s="27">
        <f t="shared" ref="K5:K15" si="6">N40</f>
        <v>2.2999999999999998</v>
      </c>
      <c r="M5" s="27">
        <f t="shared" ref="M4:M15" si="7">C5</f>
        <v>1.4450000000000001</v>
      </c>
      <c r="N5" s="27">
        <f t="shared" si="0"/>
        <v>2.4641999999999999</v>
      </c>
      <c r="O5" s="27">
        <f t="shared" si="1"/>
        <v>2.2999999999999998</v>
      </c>
      <c r="Q5" s="27"/>
      <c r="R5" s="27"/>
      <c r="S5" s="27"/>
      <c r="U5" s="1">
        <v>1.4450000000000001</v>
      </c>
      <c r="V5" s="1">
        <v>2.1374</v>
      </c>
    </row>
    <row r="6" spans="1:22" x14ac:dyDescent="0.2">
      <c r="A6" s="1">
        <v>6</v>
      </c>
      <c r="B6" s="1">
        <f t="shared" si="2"/>
        <v>19</v>
      </c>
      <c r="C6" s="27">
        <f t="shared" si="2"/>
        <v>1.4693000000000001</v>
      </c>
      <c r="E6" s="1">
        <v>6</v>
      </c>
      <c r="F6" s="1">
        <f t="shared" si="3"/>
        <v>22.9</v>
      </c>
      <c r="G6" s="27">
        <f t="shared" si="4"/>
        <v>2.1301999999999999</v>
      </c>
      <c r="I6" s="1">
        <v>6</v>
      </c>
      <c r="J6" s="1">
        <f t="shared" si="5"/>
        <v>22.5</v>
      </c>
      <c r="K6" s="27">
        <f t="shared" si="6"/>
        <v>1.7901</v>
      </c>
      <c r="M6" s="27">
        <f t="shared" si="7"/>
        <v>1.4693000000000001</v>
      </c>
      <c r="N6" s="27">
        <f t="shared" si="0"/>
        <v>2.1301999999999999</v>
      </c>
      <c r="O6" s="27">
        <f t="shared" si="1"/>
        <v>1.7901</v>
      </c>
      <c r="Q6" s="27"/>
      <c r="R6" s="27"/>
      <c r="S6" s="27"/>
      <c r="U6" s="1">
        <v>1.4693000000000001</v>
      </c>
      <c r="V6" s="1">
        <v>2.0701999999999998</v>
      </c>
    </row>
    <row r="7" spans="1:22" x14ac:dyDescent="0.2">
      <c r="A7" s="1">
        <v>7</v>
      </c>
      <c r="B7" s="1">
        <f t="shared" si="2"/>
        <v>26.1</v>
      </c>
      <c r="C7" s="27">
        <f t="shared" si="2"/>
        <v>1.8183</v>
      </c>
      <c r="E7" s="1">
        <v>7</v>
      </c>
      <c r="F7" s="1">
        <f t="shared" si="3"/>
        <v>31.3</v>
      </c>
      <c r="G7" s="27">
        <f t="shared" si="4"/>
        <v>2.6031</v>
      </c>
      <c r="I7" s="1">
        <v>7</v>
      </c>
      <c r="J7" s="1">
        <f t="shared" si="5"/>
        <v>30.8</v>
      </c>
      <c r="K7" s="27">
        <f t="shared" si="6"/>
        <v>2.2187999999999999</v>
      </c>
      <c r="M7" s="27">
        <f t="shared" si="7"/>
        <v>1.8183</v>
      </c>
      <c r="N7" s="27">
        <f>G7</f>
        <v>2.6031</v>
      </c>
      <c r="O7" s="27">
        <f t="shared" si="1"/>
        <v>2.2187999999999999</v>
      </c>
      <c r="Q7" s="27"/>
      <c r="R7" s="27"/>
      <c r="S7" s="27"/>
      <c r="U7" s="1">
        <v>1.8183</v>
      </c>
      <c r="V7" s="1">
        <v>2.3704999999999998</v>
      </c>
    </row>
    <row r="8" spans="1:22" x14ac:dyDescent="0.2">
      <c r="A8" s="1">
        <v>8</v>
      </c>
      <c r="B8" s="1">
        <f t="shared" si="2"/>
        <v>19</v>
      </c>
      <c r="C8" s="27">
        <f t="shared" si="2"/>
        <v>1.4342999999999999</v>
      </c>
      <c r="E8" s="1">
        <v>8</v>
      </c>
      <c r="F8" s="1">
        <f t="shared" si="3"/>
        <v>23</v>
      </c>
      <c r="G8" s="27">
        <f t="shared" si="4"/>
        <v>2.0438000000000001</v>
      </c>
      <c r="I8" s="1">
        <v>8</v>
      </c>
      <c r="J8" s="1">
        <f t="shared" si="5"/>
        <v>22.6</v>
      </c>
      <c r="K8" s="27">
        <f t="shared" si="6"/>
        <v>1.7519</v>
      </c>
      <c r="M8" s="27">
        <f t="shared" si="7"/>
        <v>1.4342999999999999</v>
      </c>
      <c r="N8" s="27">
        <f t="shared" si="0"/>
        <v>2.0438000000000001</v>
      </c>
      <c r="O8" s="27">
        <f t="shared" si="1"/>
        <v>1.7519</v>
      </c>
      <c r="Q8" s="27"/>
      <c r="R8" s="27"/>
      <c r="S8" s="27"/>
      <c r="U8" s="1">
        <v>1.4342999999999999</v>
      </c>
      <c r="V8" s="1">
        <v>1.8688</v>
      </c>
    </row>
    <row r="9" spans="1:22" x14ac:dyDescent="0.2">
      <c r="A9" s="1">
        <v>9</v>
      </c>
      <c r="B9" s="1">
        <f t="shared" si="2"/>
        <v>25.6</v>
      </c>
      <c r="C9" s="27">
        <f t="shared" si="2"/>
        <v>1.5629</v>
      </c>
      <c r="E9" s="1">
        <v>9</v>
      </c>
      <c r="F9" s="1">
        <f>H44</f>
        <v>31</v>
      </c>
      <c r="G9" s="27">
        <f t="shared" si="4"/>
        <v>2.3403999999999998</v>
      </c>
      <c r="I9" s="1">
        <v>9</v>
      </c>
      <c r="J9" s="1">
        <f t="shared" si="5"/>
        <v>30.5</v>
      </c>
      <c r="K9" s="27">
        <f t="shared" si="6"/>
        <v>2.1164000000000001</v>
      </c>
      <c r="M9" s="27">
        <f t="shared" si="7"/>
        <v>1.5629</v>
      </c>
      <c r="N9" s="27">
        <f t="shared" si="0"/>
        <v>2.3403999999999998</v>
      </c>
      <c r="O9" s="27">
        <f t="shared" si="1"/>
        <v>2.1164000000000001</v>
      </c>
      <c r="Q9" s="27"/>
      <c r="R9" s="27"/>
      <c r="S9" s="27"/>
      <c r="U9" s="1">
        <v>1.5629</v>
      </c>
      <c r="V9" s="1">
        <v>2.1360999999999999</v>
      </c>
    </row>
    <row r="10" spans="1:22" x14ac:dyDescent="0.2">
      <c r="A10" s="1">
        <v>10</v>
      </c>
      <c r="B10" s="1">
        <f t="shared" si="2"/>
        <v>24.5</v>
      </c>
      <c r="C10" s="27">
        <f t="shared" si="2"/>
        <v>1.8508</v>
      </c>
      <c r="E10" s="1">
        <v>10</v>
      </c>
      <c r="F10" s="1">
        <f t="shared" si="3"/>
        <v>29.6</v>
      </c>
      <c r="G10" s="27">
        <f t="shared" si="4"/>
        <v>2.8334000000000001</v>
      </c>
      <c r="I10" s="1">
        <v>10</v>
      </c>
      <c r="J10" s="1">
        <f t="shared" si="5"/>
        <v>29.2</v>
      </c>
      <c r="K10" s="27">
        <f t="shared" si="6"/>
        <v>2.3268</v>
      </c>
      <c r="M10" s="27">
        <f t="shared" si="7"/>
        <v>1.8508</v>
      </c>
      <c r="N10" s="27">
        <f t="shared" si="0"/>
        <v>2.8334000000000001</v>
      </c>
      <c r="O10" s="27">
        <f t="shared" si="1"/>
        <v>2.3268</v>
      </c>
      <c r="Q10" s="27"/>
      <c r="R10" s="27"/>
      <c r="S10" s="27"/>
      <c r="U10" s="27" cm="1">
        <f t="array" ref="U10:U15">G4:G9</f>
        <v>1.7476</v>
      </c>
      <c r="V10" s="27" cm="1">
        <f t="array" ref="V10:V15">G10:G15</f>
        <v>2.8334000000000001</v>
      </c>
    </row>
    <row r="11" spans="1:22" x14ac:dyDescent="0.2">
      <c r="A11" s="1">
        <v>11</v>
      </c>
      <c r="B11" s="1">
        <f t="shared" si="2"/>
        <v>30.8</v>
      </c>
      <c r="C11" s="27">
        <f t="shared" si="2"/>
        <v>2.1374</v>
      </c>
      <c r="E11" s="1">
        <v>11</v>
      </c>
      <c r="F11" s="1">
        <f t="shared" si="3"/>
        <v>36.9</v>
      </c>
      <c r="G11" s="27">
        <f t="shared" si="4"/>
        <v>2.8868</v>
      </c>
      <c r="I11" s="1">
        <v>11</v>
      </c>
      <c r="J11" s="1">
        <f t="shared" si="5"/>
        <v>36.1</v>
      </c>
      <c r="K11" s="27">
        <f t="shared" si="6"/>
        <v>2.5102000000000002</v>
      </c>
      <c r="M11" s="27">
        <f t="shared" si="7"/>
        <v>2.1374</v>
      </c>
      <c r="N11" s="27">
        <f t="shared" si="0"/>
        <v>2.8868</v>
      </c>
      <c r="O11" s="27">
        <f t="shared" si="1"/>
        <v>2.5102000000000002</v>
      </c>
      <c r="Q11" s="27"/>
      <c r="R11" s="27"/>
      <c r="S11" s="27"/>
      <c r="U11" s="1">
        <v>2.4641999999999999</v>
      </c>
      <c r="V11" s="1">
        <v>2.8868</v>
      </c>
    </row>
    <row r="12" spans="1:22" x14ac:dyDescent="0.2">
      <c r="A12" s="1">
        <v>12</v>
      </c>
      <c r="B12" s="1">
        <f t="shared" si="2"/>
        <v>24.6</v>
      </c>
      <c r="C12" s="27">
        <f t="shared" si="2"/>
        <v>2.0701999999999998</v>
      </c>
      <c r="E12" s="1">
        <v>12</v>
      </c>
      <c r="F12" s="1">
        <f t="shared" si="3"/>
        <v>29.5</v>
      </c>
      <c r="G12" s="27">
        <f t="shared" si="4"/>
        <v>2.8893</v>
      </c>
      <c r="I12" s="1">
        <v>12</v>
      </c>
      <c r="J12" s="1">
        <f t="shared" si="5"/>
        <v>28.9</v>
      </c>
      <c r="K12" s="27">
        <f t="shared" si="6"/>
        <v>2.5668000000000002</v>
      </c>
      <c r="M12" s="27">
        <f t="shared" si="7"/>
        <v>2.0701999999999998</v>
      </c>
      <c r="N12" s="27">
        <f t="shared" si="0"/>
        <v>2.8893</v>
      </c>
      <c r="O12" s="27">
        <f>K12</f>
        <v>2.5668000000000002</v>
      </c>
      <c r="Q12" s="27"/>
      <c r="R12" s="27"/>
      <c r="S12" s="27"/>
      <c r="U12" s="1">
        <v>2.1301999999999999</v>
      </c>
      <c r="V12" s="1">
        <v>2.8893</v>
      </c>
    </row>
    <row r="13" spans="1:22" x14ac:dyDescent="0.2">
      <c r="A13" s="1">
        <v>13</v>
      </c>
      <c r="B13" s="1">
        <f t="shared" si="2"/>
        <v>30.8</v>
      </c>
      <c r="C13" s="27">
        <f t="shared" si="2"/>
        <v>2.3704999999999998</v>
      </c>
      <c r="E13" s="1">
        <v>13</v>
      </c>
      <c r="F13" s="1">
        <f t="shared" si="3"/>
        <v>36.9</v>
      </c>
      <c r="G13" s="27">
        <f t="shared" si="4"/>
        <v>3.2658</v>
      </c>
      <c r="I13" s="1">
        <v>13</v>
      </c>
      <c r="J13" s="1">
        <f t="shared" si="5"/>
        <v>36.200000000000003</v>
      </c>
      <c r="K13" s="27">
        <f t="shared" si="6"/>
        <v>2.9683999999999999</v>
      </c>
      <c r="M13" s="27">
        <f t="shared" si="7"/>
        <v>2.3704999999999998</v>
      </c>
      <c r="N13" s="27">
        <f t="shared" si="0"/>
        <v>3.2658</v>
      </c>
      <c r="O13" s="27">
        <f t="shared" si="1"/>
        <v>2.9683999999999999</v>
      </c>
      <c r="Q13" s="27"/>
      <c r="R13" s="27"/>
      <c r="S13" s="27"/>
      <c r="U13" s="1">
        <v>2.6031</v>
      </c>
      <c r="V13" s="1">
        <v>3.2658</v>
      </c>
    </row>
    <row r="14" spans="1:22" x14ac:dyDescent="0.2">
      <c r="A14" s="1">
        <v>14</v>
      </c>
      <c r="B14" s="1">
        <f t="shared" si="2"/>
        <v>24.6</v>
      </c>
      <c r="C14" s="27">
        <f t="shared" si="2"/>
        <v>1.8688</v>
      </c>
      <c r="E14" s="1">
        <v>14</v>
      </c>
      <c r="F14" s="1">
        <f t="shared" si="3"/>
        <v>29.8</v>
      </c>
      <c r="G14" s="27">
        <f t="shared" si="4"/>
        <v>2.6368</v>
      </c>
      <c r="I14" s="1">
        <v>14</v>
      </c>
      <c r="J14" s="1">
        <f t="shared" si="5"/>
        <v>29.2</v>
      </c>
      <c r="K14" s="27">
        <f t="shared" si="6"/>
        <v>2.4034</v>
      </c>
      <c r="M14" s="27">
        <f t="shared" si="7"/>
        <v>1.8688</v>
      </c>
      <c r="N14" s="27">
        <f t="shared" si="0"/>
        <v>2.6368</v>
      </c>
      <c r="O14" s="27">
        <f t="shared" si="1"/>
        <v>2.4034</v>
      </c>
      <c r="Q14" s="27"/>
      <c r="R14" s="27"/>
      <c r="S14" s="27"/>
      <c r="U14" s="1">
        <v>2.0438000000000001</v>
      </c>
      <c r="V14" s="1">
        <v>2.6368</v>
      </c>
    </row>
    <row r="15" spans="1:22" x14ac:dyDescent="0.2">
      <c r="A15" s="1">
        <v>15</v>
      </c>
      <c r="B15" s="1">
        <f t="shared" si="2"/>
        <v>30.4</v>
      </c>
      <c r="C15" s="27">
        <f t="shared" si="2"/>
        <v>2.1360999999999999</v>
      </c>
      <c r="E15" s="1">
        <v>15</v>
      </c>
      <c r="F15" s="1">
        <f t="shared" si="3"/>
        <v>36.799999999999997</v>
      </c>
      <c r="G15" s="27">
        <f t="shared" si="4"/>
        <v>3.1633</v>
      </c>
      <c r="I15" s="1">
        <v>15</v>
      </c>
      <c r="J15" s="1">
        <f t="shared" si="5"/>
        <v>35.9</v>
      </c>
      <c r="K15" s="27">
        <f t="shared" si="6"/>
        <v>2.6421999999999999</v>
      </c>
      <c r="M15" s="27">
        <f t="shared" si="7"/>
        <v>2.1360999999999999</v>
      </c>
      <c r="N15" s="27">
        <f t="shared" si="0"/>
        <v>3.1633</v>
      </c>
      <c r="O15" s="27">
        <f t="shared" si="1"/>
        <v>2.6421999999999999</v>
      </c>
      <c r="Q15" s="27"/>
      <c r="R15" s="27"/>
      <c r="S15" s="27"/>
      <c r="U15" s="1">
        <v>2.3403999999999998</v>
      </c>
      <c r="V15" s="1">
        <v>3.1633</v>
      </c>
    </row>
    <row r="16" spans="1:22" ht="41.25" x14ac:dyDescent="0.2">
      <c r="A16" s="1" t="s">
        <v>42</v>
      </c>
      <c r="B16" s="1" t="s">
        <v>39</v>
      </c>
      <c r="C16" s="27"/>
      <c r="G16" s="27"/>
      <c r="K16" s="27"/>
      <c r="U16" s="27" cm="1">
        <f t="array" ref="U16:U21">K4:K9</f>
        <v>2.0192000000000001</v>
      </c>
      <c r="V16" s="27" cm="1">
        <f t="array" ref="V16:V21">K10:K15</f>
        <v>2.3268</v>
      </c>
    </row>
    <row r="17" spans="1:22" x14ac:dyDescent="0.2">
      <c r="A17" s="1">
        <v>2</v>
      </c>
      <c r="B17" s="27">
        <f>AVERAGE(M4:O9)</f>
        <v>1.9216944444444444</v>
      </c>
      <c r="U17" s="1">
        <v>2.2999999999999998</v>
      </c>
      <c r="V17" s="1">
        <v>2.5102000000000002</v>
      </c>
    </row>
    <row r="18" spans="1:22" x14ac:dyDescent="0.2">
      <c r="A18" s="1">
        <v>3</v>
      </c>
      <c r="B18" s="27">
        <f>AVERAGE(M10:O15)</f>
        <v>2.5292777777777773</v>
      </c>
      <c r="U18" s="1">
        <v>1.7901</v>
      </c>
      <c r="V18" s="1">
        <v>2.5668000000000002</v>
      </c>
    </row>
    <row r="19" spans="1:22" x14ac:dyDescent="0.2">
      <c r="B19" s="27"/>
      <c r="U19" s="1">
        <v>2.2187999999999999</v>
      </c>
      <c r="V19" s="1">
        <v>2.9683999999999999</v>
      </c>
    </row>
    <row r="20" spans="1:22" x14ac:dyDescent="0.2">
      <c r="U20" s="1">
        <v>1.7519</v>
      </c>
      <c r="V20" s="1">
        <v>2.4034</v>
      </c>
    </row>
    <row r="21" spans="1:22" ht="27.75" x14ac:dyDescent="0.2">
      <c r="A21" s="1" t="s">
        <v>40</v>
      </c>
      <c r="B21" s="79">
        <f>(1-B17/B18)</f>
        <v>0.24022008917785043</v>
      </c>
      <c r="U21" s="1">
        <v>2.1164000000000001</v>
      </c>
      <c r="V21" s="1">
        <v>2.6421999999999999</v>
      </c>
    </row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5</v>
      </c>
      <c r="C35" s="1" t="s">
        <v>6</v>
      </c>
      <c r="D35" s="1" t="s">
        <v>7</v>
      </c>
      <c r="F35" s="1" t="s">
        <v>2</v>
      </c>
      <c r="G35" s="1" t="s">
        <v>5</v>
      </c>
      <c r="H35" s="1" t="s">
        <v>6</v>
      </c>
      <c r="I35" s="1" t="s">
        <v>7</v>
      </c>
      <c r="K35" s="1" t="s">
        <v>2</v>
      </c>
      <c r="L35" s="1" t="s">
        <v>5</v>
      </c>
      <c r="M35" s="1" t="s">
        <v>6</v>
      </c>
      <c r="N35" s="1" t="s">
        <v>7</v>
      </c>
    </row>
    <row r="36" spans="1:14" x14ac:dyDescent="0.2">
      <c r="A36" s="1">
        <v>1</v>
      </c>
      <c r="B36" s="1" t="s">
        <v>16</v>
      </c>
      <c r="C36" s="1">
        <v>61.3</v>
      </c>
      <c r="D36" s="1">
        <v>6.6299000000000001</v>
      </c>
      <c r="F36" s="1">
        <v>1</v>
      </c>
      <c r="G36" s="1" t="s">
        <v>16</v>
      </c>
      <c r="H36" s="1">
        <v>73</v>
      </c>
      <c r="I36" s="1">
        <v>9.3462999999999994</v>
      </c>
      <c r="K36" s="1">
        <v>1</v>
      </c>
      <c r="L36" s="1" t="s">
        <v>16</v>
      </c>
      <c r="M36" s="1">
        <v>74.599999999999994</v>
      </c>
      <c r="N36" s="1">
        <v>9.6692999999999998</v>
      </c>
    </row>
    <row r="37" spans="1:14" x14ac:dyDescent="0.2">
      <c r="A37" s="1">
        <v>2</v>
      </c>
      <c r="B37" s="1">
        <v>2</v>
      </c>
      <c r="C37" s="1">
        <v>20</v>
      </c>
      <c r="D37" s="1">
        <v>1.6811</v>
      </c>
      <c r="F37" s="1">
        <v>2</v>
      </c>
      <c r="G37" s="1">
        <v>2</v>
      </c>
      <c r="H37" s="1">
        <v>16.7</v>
      </c>
      <c r="I37" s="1">
        <v>1.6182000000000001</v>
      </c>
      <c r="K37" s="1">
        <v>2</v>
      </c>
      <c r="L37" s="1">
        <v>2</v>
      </c>
      <c r="M37" s="1">
        <v>18</v>
      </c>
      <c r="N37" s="1">
        <v>1.5726</v>
      </c>
    </row>
    <row r="38" spans="1:14" x14ac:dyDescent="0.2">
      <c r="A38" s="1">
        <v>3</v>
      </c>
      <c r="B38" s="1">
        <v>3</v>
      </c>
      <c r="C38" s="1">
        <v>25.5</v>
      </c>
      <c r="D38" s="1">
        <v>2.8111999999999999</v>
      </c>
      <c r="F38" s="1">
        <v>3</v>
      </c>
      <c r="G38" s="1">
        <v>3</v>
      </c>
      <c r="H38" s="1">
        <v>24.1</v>
      </c>
      <c r="I38" s="1">
        <v>2.4346999999999999</v>
      </c>
      <c r="K38" s="1">
        <v>3</v>
      </c>
      <c r="L38" s="1">
        <v>3</v>
      </c>
      <c r="M38" s="1">
        <v>26.7</v>
      </c>
      <c r="N38" s="1">
        <v>2.6493000000000002</v>
      </c>
    </row>
    <row r="39" spans="1:14" x14ac:dyDescent="0.2">
      <c r="A39" s="1">
        <v>4</v>
      </c>
      <c r="B39" s="1">
        <v>2</v>
      </c>
      <c r="C39" s="1">
        <v>19.2</v>
      </c>
      <c r="D39" s="1">
        <v>1.335</v>
      </c>
      <c r="F39" s="1">
        <v>4</v>
      </c>
      <c r="G39" s="1">
        <v>2</v>
      </c>
      <c r="H39" s="1">
        <v>23</v>
      </c>
      <c r="I39" s="1">
        <v>1.7476</v>
      </c>
      <c r="K39" s="1">
        <v>4</v>
      </c>
      <c r="L39" s="1">
        <v>2</v>
      </c>
      <c r="M39" s="1">
        <v>24.4</v>
      </c>
      <c r="N39" s="1">
        <v>2.0192000000000001</v>
      </c>
    </row>
    <row r="40" spans="1:14" x14ac:dyDescent="0.2">
      <c r="A40" s="1">
        <v>5</v>
      </c>
      <c r="B40" s="1">
        <v>2</v>
      </c>
      <c r="C40" s="1">
        <v>26</v>
      </c>
      <c r="D40" s="1">
        <v>1.4450000000000001</v>
      </c>
      <c r="F40" s="1">
        <v>5</v>
      </c>
      <c r="G40" s="1">
        <v>2</v>
      </c>
      <c r="H40" s="1">
        <v>35.1</v>
      </c>
      <c r="I40" s="1">
        <v>2.4641999999999999</v>
      </c>
      <c r="K40" s="1">
        <v>5</v>
      </c>
      <c r="L40" s="1">
        <v>2</v>
      </c>
      <c r="M40" s="1">
        <v>35.5</v>
      </c>
      <c r="N40" s="1">
        <v>2.2999999999999998</v>
      </c>
    </row>
    <row r="41" spans="1:14" x14ac:dyDescent="0.2">
      <c r="A41" s="1">
        <v>6</v>
      </c>
      <c r="B41" s="1">
        <v>2</v>
      </c>
      <c r="C41" s="1">
        <v>19</v>
      </c>
      <c r="D41" s="1">
        <v>1.4693000000000001</v>
      </c>
      <c r="F41" s="1">
        <v>6</v>
      </c>
      <c r="G41" s="1">
        <v>2</v>
      </c>
      <c r="H41" s="1">
        <v>22.9</v>
      </c>
      <c r="I41" s="1">
        <v>2.1301999999999999</v>
      </c>
      <c r="K41" s="1">
        <v>6</v>
      </c>
      <c r="L41" s="1">
        <v>2</v>
      </c>
      <c r="M41" s="1">
        <v>22.5</v>
      </c>
      <c r="N41" s="1">
        <v>1.7901</v>
      </c>
    </row>
    <row r="42" spans="1:14" x14ac:dyDescent="0.2">
      <c r="A42" s="1">
        <v>7</v>
      </c>
      <c r="B42" s="1">
        <v>2</v>
      </c>
      <c r="C42" s="1">
        <v>26.1</v>
      </c>
      <c r="D42" s="1">
        <v>1.8183</v>
      </c>
      <c r="F42" s="1">
        <v>7</v>
      </c>
      <c r="G42" s="1">
        <v>2</v>
      </c>
      <c r="H42" s="1">
        <v>31.3</v>
      </c>
      <c r="I42" s="1">
        <v>2.6031</v>
      </c>
      <c r="K42" s="1">
        <v>7</v>
      </c>
      <c r="L42" s="1">
        <v>2</v>
      </c>
      <c r="M42" s="1">
        <v>30.8</v>
      </c>
      <c r="N42" s="1">
        <v>2.2187999999999999</v>
      </c>
    </row>
    <row r="43" spans="1:14" x14ac:dyDescent="0.2">
      <c r="A43" s="1">
        <v>8</v>
      </c>
      <c r="B43" s="1">
        <v>2</v>
      </c>
      <c r="C43" s="1">
        <v>19</v>
      </c>
      <c r="D43" s="1">
        <v>1.4342999999999999</v>
      </c>
      <c r="F43" s="1">
        <v>8</v>
      </c>
      <c r="G43" s="1">
        <v>2</v>
      </c>
      <c r="H43" s="1">
        <v>23</v>
      </c>
      <c r="I43" s="1">
        <v>2.0438000000000001</v>
      </c>
      <c r="K43" s="1">
        <v>8</v>
      </c>
      <c r="L43" s="1">
        <v>2</v>
      </c>
      <c r="M43" s="1">
        <v>22.6</v>
      </c>
      <c r="N43" s="1">
        <v>1.7519</v>
      </c>
    </row>
    <row r="44" spans="1:14" x14ac:dyDescent="0.2">
      <c r="A44" s="1">
        <v>9</v>
      </c>
      <c r="B44" s="1">
        <v>2</v>
      </c>
      <c r="C44" s="1">
        <v>25.6</v>
      </c>
      <c r="D44" s="1">
        <v>1.5629</v>
      </c>
      <c r="F44" s="1">
        <v>9</v>
      </c>
      <c r="G44" s="1">
        <v>2</v>
      </c>
      <c r="H44" s="1">
        <v>31</v>
      </c>
      <c r="I44" s="1">
        <v>2.3403999999999998</v>
      </c>
      <c r="K44" s="1">
        <v>9</v>
      </c>
      <c r="L44" s="1">
        <v>2</v>
      </c>
      <c r="M44" s="1">
        <v>30.5</v>
      </c>
      <c r="N44" s="1">
        <v>2.1164000000000001</v>
      </c>
    </row>
    <row r="45" spans="1:14" x14ac:dyDescent="0.2">
      <c r="A45" s="1">
        <v>10</v>
      </c>
      <c r="B45" s="1">
        <v>3</v>
      </c>
      <c r="C45" s="1">
        <v>24.5</v>
      </c>
      <c r="D45" s="1">
        <v>1.8508</v>
      </c>
      <c r="F45" s="1">
        <v>10</v>
      </c>
      <c r="G45" s="1">
        <v>3</v>
      </c>
      <c r="H45" s="1">
        <v>29.6</v>
      </c>
      <c r="I45" s="1">
        <v>2.8334000000000001</v>
      </c>
      <c r="K45" s="1">
        <v>10</v>
      </c>
      <c r="L45" s="1">
        <v>3</v>
      </c>
      <c r="M45" s="1">
        <v>29.2</v>
      </c>
      <c r="N45" s="1">
        <v>2.3268</v>
      </c>
    </row>
    <row r="46" spans="1:14" x14ac:dyDescent="0.2">
      <c r="A46" s="1">
        <v>11</v>
      </c>
      <c r="B46" s="1">
        <v>3</v>
      </c>
      <c r="C46" s="1">
        <v>30.8</v>
      </c>
      <c r="D46" s="1">
        <v>2.1374</v>
      </c>
      <c r="F46" s="1">
        <v>11</v>
      </c>
      <c r="G46" s="1">
        <v>3</v>
      </c>
      <c r="H46" s="1">
        <v>36.9</v>
      </c>
      <c r="I46" s="1">
        <v>2.8868</v>
      </c>
      <c r="K46" s="1">
        <v>11</v>
      </c>
      <c r="L46" s="1">
        <v>3</v>
      </c>
      <c r="M46" s="1">
        <v>36.1</v>
      </c>
      <c r="N46" s="1">
        <v>2.5102000000000002</v>
      </c>
    </row>
    <row r="47" spans="1:14" x14ac:dyDescent="0.2">
      <c r="A47" s="1">
        <v>12</v>
      </c>
      <c r="B47" s="1">
        <v>3</v>
      </c>
      <c r="C47" s="1">
        <v>24.6</v>
      </c>
      <c r="D47" s="1">
        <v>2.0701999999999998</v>
      </c>
      <c r="F47" s="1">
        <v>12</v>
      </c>
      <c r="G47" s="1">
        <v>3</v>
      </c>
      <c r="H47" s="1">
        <v>29.5</v>
      </c>
      <c r="I47" s="1">
        <v>2.8893</v>
      </c>
      <c r="K47" s="1">
        <v>12</v>
      </c>
      <c r="L47" s="1">
        <v>3</v>
      </c>
      <c r="M47" s="1">
        <v>28.9</v>
      </c>
      <c r="N47" s="1">
        <v>2.5668000000000002</v>
      </c>
    </row>
    <row r="48" spans="1:14" x14ac:dyDescent="0.2">
      <c r="A48" s="1">
        <v>13</v>
      </c>
      <c r="B48" s="1">
        <v>3</v>
      </c>
      <c r="C48" s="1">
        <v>30.8</v>
      </c>
      <c r="D48" s="1">
        <v>2.3704999999999998</v>
      </c>
      <c r="F48" s="1">
        <v>13</v>
      </c>
      <c r="G48" s="1">
        <v>3</v>
      </c>
      <c r="H48" s="1">
        <v>36.9</v>
      </c>
      <c r="I48" s="1">
        <v>3.2658</v>
      </c>
      <c r="K48" s="1">
        <v>13</v>
      </c>
      <c r="L48" s="1">
        <v>3</v>
      </c>
      <c r="M48" s="1">
        <v>36.200000000000003</v>
      </c>
      <c r="N48" s="1">
        <v>2.9683999999999999</v>
      </c>
    </row>
    <row r="49" spans="1:14" x14ac:dyDescent="0.2">
      <c r="A49" s="1">
        <v>14</v>
      </c>
      <c r="B49" s="1">
        <v>3</v>
      </c>
      <c r="C49" s="1">
        <v>24.6</v>
      </c>
      <c r="D49" s="1">
        <v>1.8688</v>
      </c>
      <c r="F49" s="1">
        <v>14</v>
      </c>
      <c r="G49" s="1">
        <v>3</v>
      </c>
      <c r="H49" s="1">
        <v>29.8</v>
      </c>
      <c r="I49" s="1">
        <v>2.6368</v>
      </c>
      <c r="K49" s="1">
        <v>14</v>
      </c>
      <c r="L49" s="1">
        <v>3</v>
      </c>
      <c r="M49" s="1">
        <v>29.2</v>
      </c>
      <c r="N49" s="1">
        <v>2.4034</v>
      </c>
    </row>
    <row r="50" spans="1:14" x14ac:dyDescent="0.2">
      <c r="A50" s="1">
        <v>15</v>
      </c>
      <c r="B50" s="1">
        <v>3</v>
      </c>
      <c r="C50" s="1">
        <v>30.4</v>
      </c>
      <c r="D50" s="1">
        <v>2.1360999999999999</v>
      </c>
      <c r="F50" s="1">
        <v>15</v>
      </c>
      <c r="G50" s="1">
        <v>3</v>
      </c>
      <c r="H50" s="1">
        <v>36.799999999999997</v>
      </c>
      <c r="I50" s="1">
        <v>3.1633</v>
      </c>
      <c r="K50" s="1">
        <v>15</v>
      </c>
      <c r="L50" s="1">
        <v>3</v>
      </c>
      <c r="M50" s="1">
        <v>35.9</v>
      </c>
      <c r="N50" s="1">
        <v>2.6421999999999999</v>
      </c>
    </row>
  </sheetData>
  <mergeCells count="5">
    <mergeCell ref="Q1:S2"/>
    <mergeCell ref="A2:C2"/>
    <mergeCell ref="E2:G2"/>
    <mergeCell ref="I2:K2"/>
    <mergeCell ref="U2:V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08A1-42E6-496C-A375-EB74E91DE2DD}">
  <dimension ref="A1:V50"/>
  <sheetViews>
    <sheetView zoomScale="70" zoomScaleNormal="70" workbookViewId="0">
      <selection activeCell="P1" sqref="P1:S16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6.542968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4.66015625" style="1" customWidth="1"/>
    <col min="12" max="14" width="9.14453125" style="1"/>
    <col min="15" max="15" width="8.203125" style="1" bestFit="1" customWidth="1"/>
    <col min="16" max="18" width="9.14453125" style="1" bestFit="1" customWidth="1"/>
    <col min="19" max="19" width="9.14453125" style="1"/>
    <col min="20" max="20" width="10.76171875" style="1" customWidth="1"/>
    <col min="21" max="16384" width="9.14453125" style="1"/>
  </cols>
  <sheetData>
    <row r="1" spans="1:22" x14ac:dyDescent="0.2">
      <c r="Q1" s="104"/>
      <c r="R1" s="104"/>
      <c r="S1" s="104"/>
    </row>
    <row r="2" spans="1:22" ht="15" customHeight="1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  <c r="Q2" s="104"/>
      <c r="R2" s="104"/>
      <c r="S2" s="104"/>
      <c r="U2" s="104" t="s">
        <v>43</v>
      </c>
      <c r="V2" s="104"/>
    </row>
    <row r="3" spans="1:22" ht="27.75" x14ac:dyDescent="0.2">
      <c r="A3" s="1" t="s">
        <v>2</v>
      </c>
      <c r="B3" s="1" t="s">
        <v>6</v>
      </c>
      <c r="C3" s="1" t="s">
        <v>8</v>
      </c>
      <c r="E3" s="1" t="s">
        <v>2</v>
      </c>
      <c r="F3" s="1" t="s">
        <v>6</v>
      </c>
      <c r="G3" s="1" t="s">
        <v>8</v>
      </c>
      <c r="I3" s="1" t="s">
        <v>2</v>
      </c>
      <c r="J3" s="1" t="s">
        <v>6</v>
      </c>
      <c r="K3" s="1" t="s">
        <v>8</v>
      </c>
      <c r="M3" s="1" t="s">
        <v>35</v>
      </c>
      <c r="N3" s="1" t="s">
        <v>36</v>
      </c>
      <c r="O3" s="1" t="s">
        <v>37</v>
      </c>
      <c r="U3" s="1">
        <v>2</v>
      </c>
      <c r="V3" s="1">
        <v>3</v>
      </c>
    </row>
    <row r="4" spans="1:22" x14ac:dyDescent="0.2">
      <c r="A4" s="1">
        <v>4</v>
      </c>
      <c r="B4" s="1">
        <f>C39</f>
        <v>19.2</v>
      </c>
      <c r="C4" s="27">
        <f>D39</f>
        <v>205.66</v>
      </c>
      <c r="E4" s="1">
        <v>4</v>
      </c>
      <c r="F4" s="1">
        <f>H39</f>
        <v>23</v>
      </c>
      <c r="G4" s="27">
        <f>I39</f>
        <v>254.67</v>
      </c>
      <c r="I4" s="1">
        <v>4</v>
      </c>
      <c r="J4" s="1">
        <f>M39</f>
        <v>24.4</v>
      </c>
      <c r="K4" s="27">
        <f>N39</f>
        <v>176.33</v>
      </c>
      <c r="M4" s="27">
        <f>C4</f>
        <v>205.66</v>
      </c>
      <c r="N4" s="27">
        <f t="shared" ref="N4:N15" si="0">G4</f>
        <v>254.67</v>
      </c>
      <c r="O4" s="27">
        <f t="shared" ref="O4:O15" si="1">K4</f>
        <v>176.33</v>
      </c>
      <c r="Q4" s="27"/>
      <c r="R4" s="27"/>
      <c r="S4" s="27"/>
      <c r="U4" s="27" cm="1">
        <f t="array" ref="U4:U9">C4:C9</f>
        <v>205.66</v>
      </c>
      <c r="V4" s="27" cm="1">
        <f t="array" ref="V4:V9">C10:C15</f>
        <v>252.92</v>
      </c>
    </row>
    <row r="5" spans="1:22" x14ac:dyDescent="0.2">
      <c r="A5" s="1">
        <v>5</v>
      </c>
      <c r="B5" s="1">
        <f t="shared" ref="B5:C15" si="2">C40</f>
        <v>26</v>
      </c>
      <c r="C5" s="27">
        <f t="shared" si="2"/>
        <v>201.67</v>
      </c>
      <c r="E5" s="1">
        <v>5</v>
      </c>
      <c r="F5" s="1">
        <f t="shared" ref="F5:G15" si="3">H40</f>
        <v>35.1</v>
      </c>
      <c r="G5" s="27">
        <f t="shared" si="3"/>
        <v>369.98</v>
      </c>
      <c r="I5" s="1">
        <v>5</v>
      </c>
      <c r="J5" s="1">
        <f t="shared" ref="J5:K15" si="4">M40</f>
        <v>35.5</v>
      </c>
      <c r="K5" s="27">
        <f t="shared" si="4"/>
        <v>198.2</v>
      </c>
      <c r="M5" s="27">
        <f t="shared" ref="M5:M16" si="5">C5</f>
        <v>201.67</v>
      </c>
      <c r="N5" s="27">
        <f t="shared" si="0"/>
        <v>369.98</v>
      </c>
      <c r="O5" s="27">
        <f t="shared" si="1"/>
        <v>198.2</v>
      </c>
      <c r="Q5" s="27"/>
      <c r="R5" s="27"/>
      <c r="S5" s="27"/>
      <c r="U5" s="1">
        <v>201.67</v>
      </c>
      <c r="V5" s="1">
        <v>276.22000000000003</v>
      </c>
    </row>
    <row r="6" spans="1:22" x14ac:dyDescent="0.2">
      <c r="A6" s="1">
        <v>6</v>
      </c>
      <c r="B6" s="1">
        <f t="shared" si="2"/>
        <v>19</v>
      </c>
      <c r="C6" s="27">
        <f t="shared" si="2"/>
        <v>227.06</v>
      </c>
      <c r="E6" s="1">
        <v>6</v>
      </c>
      <c r="F6" s="1">
        <f t="shared" si="3"/>
        <v>22.9</v>
      </c>
      <c r="G6" s="27">
        <f t="shared" si="3"/>
        <v>319.06</v>
      </c>
      <c r="I6" s="1">
        <v>6</v>
      </c>
      <c r="J6" s="1">
        <f t="shared" si="4"/>
        <v>22.5</v>
      </c>
      <c r="K6" s="27">
        <f t="shared" si="4"/>
        <v>162.5</v>
      </c>
      <c r="M6" s="27">
        <f t="shared" si="5"/>
        <v>227.06</v>
      </c>
      <c r="N6" s="27">
        <f t="shared" si="0"/>
        <v>319.06</v>
      </c>
      <c r="O6" s="27">
        <f t="shared" si="1"/>
        <v>162.5</v>
      </c>
      <c r="Q6" s="27"/>
      <c r="R6" s="27"/>
      <c r="S6" s="27"/>
      <c r="U6" s="1">
        <v>227.06</v>
      </c>
      <c r="V6" s="1">
        <v>318.51</v>
      </c>
    </row>
    <row r="7" spans="1:22" x14ac:dyDescent="0.2">
      <c r="A7" s="1">
        <v>7</v>
      </c>
      <c r="B7" s="1">
        <f t="shared" si="2"/>
        <v>26.1</v>
      </c>
      <c r="C7" s="27">
        <f t="shared" si="2"/>
        <v>250.75</v>
      </c>
      <c r="E7" s="1">
        <v>7</v>
      </c>
      <c r="F7" s="1">
        <f t="shared" si="3"/>
        <v>31.3</v>
      </c>
      <c r="G7" s="27">
        <f t="shared" si="3"/>
        <v>390.65</v>
      </c>
      <c r="I7" s="1">
        <v>7</v>
      </c>
      <c r="J7" s="1">
        <f t="shared" si="4"/>
        <v>30.8</v>
      </c>
      <c r="K7" s="27">
        <f t="shared" si="4"/>
        <v>196.94</v>
      </c>
      <c r="M7" s="27">
        <f t="shared" si="5"/>
        <v>250.75</v>
      </c>
      <c r="N7" s="27">
        <f>G7</f>
        <v>390.65</v>
      </c>
      <c r="O7" s="27">
        <f t="shared" si="1"/>
        <v>196.94</v>
      </c>
      <c r="Q7" s="27"/>
      <c r="R7" s="27"/>
      <c r="S7" s="27"/>
      <c r="U7" s="1">
        <v>250.75</v>
      </c>
      <c r="V7" s="1">
        <v>326.7</v>
      </c>
    </row>
    <row r="8" spans="1:22" x14ac:dyDescent="0.2">
      <c r="A8" s="1">
        <v>8</v>
      </c>
      <c r="B8" s="1">
        <f t="shared" si="2"/>
        <v>19</v>
      </c>
      <c r="C8" s="27">
        <f t="shared" si="2"/>
        <v>190.34</v>
      </c>
      <c r="E8" s="1">
        <v>8</v>
      </c>
      <c r="F8" s="1">
        <f t="shared" si="3"/>
        <v>23</v>
      </c>
      <c r="G8" s="27">
        <f t="shared" si="3"/>
        <v>295.55</v>
      </c>
      <c r="I8" s="1">
        <v>8</v>
      </c>
      <c r="J8" s="1">
        <f t="shared" si="4"/>
        <v>22.6</v>
      </c>
      <c r="K8" s="27">
        <f t="shared" si="4"/>
        <v>158.37</v>
      </c>
      <c r="M8" s="27">
        <f t="shared" si="5"/>
        <v>190.34</v>
      </c>
      <c r="N8" s="27">
        <f t="shared" si="0"/>
        <v>295.55</v>
      </c>
      <c r="O8" s="27">
        <f t="shared" si="1"/>
        <v>158.37</v>
      </c>
      <c r="Q8" s="27"/>
      <c r="R8" s="27"/>
      <c r="S8" s="27"/>
      <c r="U8" s="1">
        <v>190.34</v>
      </c>
      <c r="V8" s="1">
        <v>277.42</v>
      </c>
    </row>
    <row r="9" spans="1:22" x14ac:dyDescent="0.2">
      <c r="A9" s="1">
        <v>9</v>
      </c>
      <c r="B9" s="1">
        <f t="shared" si="2"/>
        <v>25.6</v>
      </c>
      <c r="C9" s="27">
        <f t="shared" si="2"/>
        <v>238.64</v>
      </c>
      <c r="E9" s="1">
        <v>9</v>
      </c>
      <c r="F9" s="1">
        <f>H44</f>
        <v>31</v>
      </c>
      <c r="G9" s="27">
        <f t="shared" si="3"/>
        <v>332.1</v>
      </c>
      <c r="I9" s="1">
        <v>9</v>
      </c>
      <c r="J9" s="1">
        <f t="shared" si="4"/>
        <v>30.5</v>
      </c>
      <c r="K9" s="27">
        <f t="shared" si="4"/>
        <v>183.51</v>
      </c>
      <c r="M9" s="27">
        <f t="shared" si="5"/>
        <v>238.64</v>
      </c>
      <c r="N9" s="27">
        <f t="shared" si="0"/>
        <v>332.1</v>
      </c>
      <c r="O9" s="27">
        <f t="shared" si="1"/>
        <v>183.51</v>
      </c>
      <c r="Q9" s="27"/>
      <c r="R9" s="27"/>
      <c r="S9" s="27"/>
      <c r="U9" s="1">
        <v>238.64</v>
      </c>
      <c r="V9" s="1">
        <v>285.92</v>
      </c>
    </row>
    <row r="10" spans="1:22" x14ac:dyDescent="0.2">
      <c r="A10" s="1">
        <v>10</v>
      </c>
      <c r="B10" s="1">
        <f t="shared" si="2"/>
        <v>24.5</v>
      </c>
      <c r="C10" s="27">
        <f t="shared" si="2"/>
        <v>252.92</v>
      </c>
      <c r="E10" s="1">
        <v>10</v>
      </c>
      <c r="F10" s="1">
        <f t="shared" si="3"/>
        <v>29.6</v>
      </c>
      <c r="G10" s="27">
        <f t="shared" si="3"/>
        <v>403.11</v>
      </c>
      <c r="I10" s="1">
        <v>10</v>
      </c>
      <c r="J10" s="1">
        <f t="shared" si="4"/>
        <v>29.2</v>
      </c>
      <c r="K10" s="27">
        <f t="shared" si="4"/>
        <v>216.39</v>
      </c>
      <c r="M10" s="27">
        <f t="shared" si="5"/>
        <v>252.92</v>
      </c>
      <c r="N10" s="27">
        <f t="shared" si="0"/>
        <v>403.11</v>
      </c>
      <c r="O10" s="27">
        <f t="shared" si="1"/>
        <v>216.39</v>
      </c>
      <c r="Q10" s="27"/>
      <c r="R10" s="27"/>
      <c r="S10" s="27"/>
      <c r="U10" s="27" cm="1">
        <f t="array" ref="U10:U15">G4:G9</f>
        <v>254.67</v>
      </c>
      <c r="V10" s="27" cm="1">
        <f t="array" ref="V10:V15">G10:G15</f>
        <v>403.11</v>
      </c>
    </row>
    <row r="11" spans="1:22" x14ac:dyDescent="0.2">
      <c r="A11" s="1">
        <v>11</v>
      </c>
      <c r="B11" s="1">
        <f t="shared" si="2"/>
        <v>30.8</v>
      </c>
      <c r="C11" s="27">
        <f t="shared" si="2"/>
        <v>276.22000000000003</v>
      </c>
      <c r="E11" s="1">
        <v>11</v>
      </c>
      <c r="F11" s="1">
        <f t="shared" si="3"/>
        <v>36.9</v>
      </c>
      <c r="G11" s="27">
        <f t="shared" si="3"/>
        <v>414.66</v>
      </c>
      <c r="I11" s="1">
        <v>11</v>
      </c>
      <c r="J11" s="1">
        <f t="shared" si="4"/>
        <v>36.1</v>
      </c>
      <c r="K11" s="27">
        <f t="shared" si="4"/>
        <v>222.88</v>
      </c>
      <c r="M11" s="27">
        <f t="shared" si="5"/>
        <v>276.22000000000003</v>
      </c>
      <c r="N11" s="27">
        <f t="shared" si="0"/>
        <v>414.66</v>
      </c>
      <c r="O11" s="27">
        <f t="shared" si="1"/>
        <v>222.88</v>
      </c>
      <c r="Q11" s="27"/>
      <c r="R11" s="27"/>
      <c r="S11" s="27"/>
      <c r="U11" s="1">
        <v>369.98</v>
      </c>
      <c r="V11" s="1">
        <v>414.66</v>
      </c>
    </row>
    <row r="12" spans="1:22" x14ac:dyDescent="0.2">
      <c r="A12" s="1">
        <v>12</v>
      </c>
      <c r="B12" s="1">
        <f t="shared" si="2"/>
        <v>24.6</v>
      </c>
      <c r="C12" s="27">
        <f t="shared" si="2"/>
        <v>318.51</v>
      </c>
      <c r="E12" s="1">
        <v>12</v>
      </c>
      <c r="F12" s="1">
        <f t="shared" si="3"/>
        <v>29.5</v>
      </c>
      <c r="G12" s="27">
        <f t="shared" si="3"/>
        <v>423.57</v>
      </c>
      <c r="I12" s="1">
        <v>12</v>
      </c>
      <c r="J12" s="1">
        <f t="shared" si="4"/>
        <v>28.9</v>
      </c>
      <c r="K12" s="27">
        <f t="shared" si="4"/>
        <v>234.1</v>
      </c>
      <c r="M12" s="27">
        <f t="shared" si="5"/>
        <v>318.51</v>
      </c>
      <c r="N12" s="27">
        <f t="shared" si="0"/>
        <v>423.57</v>
      </c>
      <c r="O12" s="27">
        <f>K12</f>
        <v>234.1</v>
      </c>
      <c r="Q12" s="27"/>
      <c r="R12" s="27"/>
      <c r="S12" s="27"/>
      <c r="U12" s="1">
        <v>319.06</v>
      </c>
      <c r="V12" s="1">
        <v>423.57</v>
      </c>
    </row>
    <row r="13" spans="1:22" x14ac:dyDescent="0.2">
      <c r="A13" s="1">
        <v>13</v>
      </c>
      <c r="B13" s="1">
        <f t="shared" si="2"/>
        <v>30.8</v>
      </c>
      <c r="C13" s="27">
        <f t="shared" si="2"/>
        <v>326.7</v>
      </c>
      <c r="E13" s="1">
        <v>13</v>
      </c>
      <c r="F13" s="1">
        <f t="shared" si="3"/>
        <v>36.9</v>
      </c>
      <c r="G13" s="27">
        <f t="shared" si="3"/>
        <v>483.77</v>
      </c>
      <c r="I13" s="1">
        <v>13</v>
      </c>
      <c r="J13" s="1">
        <f t="shared" si="4"/>
        <v>36.200000000000003</v>
      </c>
      <c r="K13" s="27">
        <f t="shared" si="4"/>
        <v>297.60000000000002</v>
      </c>
      <c r="M13" s="27">
        <f t="shared" si="5"/>
        <v>326.7</v>
      </c>
      <c r="N13" s="27">
        <f t="shared" si="0"/>
        <v>483.77</v>
      </c>
      <c r="O13" s="27">
        <f t="shared" si="1"/>
        <v>297.60000000000002</v>
      </c>
      <c r="Q13" s="27"/>
      <c r="R13" s="27"/>
      <c r="S13" s="27"/>
      <c r="U13" s="1">
        <v>390.65</v>
      </c>
      <c r="V13" s="1">
        <v>483.77</v>
      </c>
    </row>
    <row r="14" spans="1:22" x14ac:dyDescent="0.2">
      <c r="A14" s="1">
        <v>14</v>
      </c>
      <c r="B14" s="1">
        <f t="shared" si="2"/>
        <v>24.6</v>
      </c>
      <c r="C14" s="27">
        <f t="shared" si="2"/>
        <v>277.42</v>
      </c>
      <c r="E14" s="1">
        <v>14</v>
      </c>
      <c r="F14" s="1">
        <f t="shared" si="3"/>
        <v>29.8</v>
      </c>
      <c r="G14" s="27">
        <f t="shared" si="3"/>
        <v>401.55</v>
      </c>
      <c r="I14" s="1">
        <v>14</v>
      </c>
      <c r="J14" s="1">
        <f t="shared" si="4"/>
        <v>29.2</v>
      </c>
      <c r="K14" s="27">
        <f t="shared" si="4"/>
        <v>239.77</v>
      </c>
      <c r="M14" s="27">
        <f t="shared" si="5"/>
        <v>277.42</v>
      </c>
      <c r="N14" s="27">
        <f t="shared" si="0"/>
        <v>401.55</v>
      </c>
      <c r="O14" s="27">
        <f t="shared" si="1"/>
        <v>239.77</v>
      </c>
      <c r="Q14" s="27"/>
      <c r="R14" s="27"/>
      <c r="S14" s="27"/>
      <c r="U14" s="1">
        <v>295.55</v>
      </c>
      <c r="V14" s="1">
        <v>401.55</v>
      </c>
    </row>
    <row r="15" spans="1:22" x14ac:dyDescent="0.2">
      <c r="A15" s="1">
        <v>15</v>
      </c>
      <c r="B15" s="1">
        <f t="shared" si="2"/>
        <v>30.4</v>
      </c>
      <c r="C15" s="27">
        <f t="shared" si="2"/>
        <v>285.92</v>
      </c>
      <c r="E15" s="1">
        <v>15</v>
      </c>
      <c r="F15" s="1">
        <f t="shared" si="3"/>
        <v>36.799999999999997</v>
      </c>
      <c r="G15" s="27">
        <f t="shared" si="3"/>
        <v>490.71</v>
      </c>
      <c r="I15" s="1">
        <v>15</v>
      </c>
      <c r="J15" s="1">
        <f t="shared" si="4"/>
        <v>35.9</v>
      </c>
      <c r="K15" s="27">
        <f t="shared" si="4"/>
        <v>252.96</v>
      </c>
      <c r="M15" s="27">
        <f t="shared" si="5"/>
        <v>285.92</v>
      </c>
      <c r="N15" s="27">
        <f t="shared" si="0"/>
        <v>490.71</v>
      </c>
      <c r="O15" s="27">
        <f t="shared" si="1"/>
        <v>252.96</v>
      </c>
      <c r="Q15" s="27"/>
      <c r="R15" s="27"/>
      <c r="S15" s="27"/>
      <c r="U15" s="1">
        <v>332.1</v>
      </c>
      <c r="V15" s="1">
        <v>490.71</v>
      </c>
    </row>
    <row r="16" spans="1:22" ht="54.75" x14ac:dyDescent="0.2">
      <c r="A16" s="1" t="s">
        <v>42</v>
      </c>
      <c r="B16" s="1" t="s">
        <v>46</v>
      </c>
      <c r="C16" s="27"/>
      <c r="G16" s="27"/>
      <c r="K16" s="27"/>
      <c r="U16" s="27" cm="1">
        <f t="array" ref="U16:U21">K4:K9</f>
        <v>176.33</v>
      </c>
      <c r="V16" s="27" cm="1">
        <f t="array" ref="V16:V21">K10:K15</f>
        <v>216.39</v>
      </c>
    </row>
    <row r="17" spans="1:22" x14ac:dyDescent="0.2">
      <c r="A17" s="1">
        <v>2</v>
      </c>
      <c r="B17" s="27">
        <f>AVERAGE(M4:O9)</f>
        <v>241.7766666666667</v>
      </c>
      <c r="U17" s="1">
        <v>198.2</v>
      </c>
      <c r="V17" s="1">
        <v>222.88</v>
      </c>
    </row>
    <row r="18" spans="1:22" x14ac:dyDescent="0.2">
      <c r="A18" s="1">
        <v>3</v>
      </c>
      <c r="B18" s="27">
        <f>AVERAGE(M10:O15)</f>
        <v>323.26444444444445</v>
      </c>
      <c r="U18" s="1">
        <v>162.5</v>
      </c>
      <c r="V18" s="1">
        <v>234.1</v>
      </c>
    </row>
    <row r="19" spans="1:22" x14ac:dyDescent="0.2">
      <c r="B19" s="27"/>
      <c r="U19" s="1">
        <v>196.94</v>
      </c>
      <c r="V19" s="1">
        <v>297.60000000000002</v>
      </c>
    </row>
    <row r="20" spans="1:22" x14ac:dyDescent="0.2">
      <c r="U20" s="1">
        <v>158.37</v>
      </c>
      <c r="V20" s="1">
        <v>239.77</v>
      </c>
    </row>
    <row r="21" spans="1:22" ht="27.75" x14ac:dyDescent="0.2">
      <c r="A21" s="1" t="s">
        <v>40</v>
      </c>
      <c r="B21" s="79">
        <f>(1-B17/B18)</f>
        <v>0.25207776227237411</v>
      </c>
      <c r="U21" s="1">
        <v>183.51</v>
      </c>
      <c r="V21" s="1">
        <v>252.96</v>
      </c>
    </row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5</v>
      </c>
      <c r="C35" s="1" t="s">
        <v>6</v>
      </c>
      <c r="D35" s="1" t="s">
        <v>8</v>
      </c>
      <c r="F35" s="1" t="s">
        <v>2</v>
      </c>
      <c r="G35" s="1" t="s">
        <v>5</v>
      </c>
      <c r="H35" s="1" t="s">
        <v>6</v>
      </c>
      <c r="I35" s="1" t="s">
        <v>8</v>
      </c>
      <c r="K35" s="1" t="s">
        <v>2</v>
      </c>
      <c r="L35" s="1" t="s">
        <v>5</v>
      </c>
      <c r="M35" s="1" t="s">
        <v>6</v>
      </c>
      <c r="N35" s="1" t="s">
        <v>8</v>
      </c>
    </row>
    <row r="36" spans="1:14" x14ac:dyDescent="0.2">
      <c r="A36" s="1">
        <v>1</v>
      </c>
      <c r="B36" s="1" t="s">
        <v>16</v>
      </c>
      <c r="C36" s="1">
        <v>61.3</v>
      </c>
      <c r="D36" s="1">
        <v>823.48</v>
      </c>
      <c r="F36" s="1">
        <v>1</v>
      </c>
      <c r="G36" s="1" t="s">
        <v>16</v>
      </c>
      <c r="H36" s="1">
        <v>73</v>
      </c>
      <c r="I36" s="1">
        <v>1280.8800000000001</v>
      </c>
      <c r="K36" s="1">
        <v>1</v>
      </c>
      <c r="L36" s="1" t="s">
        <v>16</v>
      </c>
      <c r="M36" s="1">
        <v>74.599999999999994</v>
      </c>
      <c r="N36" s="1">
        <v>713.07</v>
      </c>
    </row>
    <row r="37" spans="1:14" x14ac:dyDescent="0.2">
      <c r="A37" s="1">
        <v>2</v>
      </c>
      <c r="B37" s="1">
        <v>2</v>
      </c>
      <c r="C37" s="1">
        <v>20</v>
      </c>
      <c r="D37" s="1">
        <v>268.27</v>
      </c>
      <c r="F37" s="1">
        <v>2</v>
      </c>
      <c r="G37" s="1">
        <v>2</v>
      </c>
      <c r="H37" s="1">
        <v>16.7</v>
      </c>
      <c r="I37" s="1">
        <v>211.47</v>
      </c>
      <c r="K37" s="1">
        <v>2</v>
      </c>
      <c r="L37" s="1">
        <v>2</v>
      </c>
      <c r="M37" s="1">
        <v>18</v>
      </c>
      <c r="N37" s="1">
        <v>121.17</v>
      </c>
    </row>
    <row r="38" spans="1:14" x14ac:dyDescent="0.2">
      <c r="A38" s="1">
        <v>3</v>
      </c>
      <c r="B38" s="1">
        <v>3</v>
      </c>
      <c r="C38" s="1">
        <v>25.5</v>
      </c>
      <c r="D38" s="1">
        <v>388.75</v>
      </c>
      <c r="F38" s="1">
        <v>3</v>
      </c>
      <c r="G38" s="1">
        <v>3</v>
      </c>
      <c r="H38" s="1">
        <v>24.1</v>
      </c>
      <c r="I38" s="1">
        <v>354.94</v>
      </c>
      <c r="K38" s="1">
        <v>3</v>
      </c>
      <c r="L38" s="1">
        <v>3</v>
      </c>
      <c r="M38" s="1">
        <v>26.7</v>
      </c>
      <c r="N38" s="1">
        <v>228.77</v>
      </c>
    </row>
    <row r="39" spans="1:14" x14ac:dyDescent="0.2">
      <c r="A39" s="1">
        <v>4</v>
      </c>
      <c r="B39" s="1">
        <v>2</v>
      </c>
      <c r="C39" s="1">
        <v>19.2</v>
      </c>
      <c r="D39" s="1">
        <v>205.66</v>
      </c>
      <c r="F39" s="1">
        <v>4</v>
      </c>
      <c r="G39" s="1">
        <v>2</v>
      </c>
      <c r="H39" s="1">
        <v>23</v>
      </c>
      <c r="I39" s="1">
        <v>254.67</v>
      </c>
      <c r="K39" s="1">
        <v>4</v>
      </c>
      <c r="L39" s="1">
        <v>2</v>
      </c>
      <c r="M39" s="1">
        <v>24.4</v>
      </c>
      <c r="N39" s="1">
        <v>176.33</v>
      </c>
    </row>
    <row r="40" spans="1:14" x14ac:dyDescent="0.2">
      <c r="A40" s="1">
        <v>5</v>
      </c>
      <c r="B40" s="1">
        <v>2</v>
      </c>
      <c r="C40" s="1">
        <v>26</v>
      </c>
      <c r="D40" s="1">
        <v>201.67</v>
      </c>
      <c r="F40" s="1">
        <v>5</v>
      </c>
      <c r="G40" s="1">
        <v>2</v>
      </c>
      <c r="H40" s="1">
        <v>35.1</v>
      </c>
      <c r="I40" s="1">
        <v>369.98</v>
      </c>
      <c r="K40" s="1">
        <v>5</v>
      </c>
      <c r="L40" s="1">
        <v>2</v>
      </c>
      <c r="M40" s="1">
        <v>35.5</v>
      </c>
      <c r="N40" s="1">
        <v>198.2</v>
      </c>
    </row>
    <row r="41" spans="1:14" x14ac:dyDescent="0.2">
      <c r="A41" s="1">
        <v>6</v>
      </c>
      <c r="B41" s="1">
        <v>2</v>
      </c>
      <c r="C41" s="1">
        <v>19</v>
      </c>
      <c r="D41" s="1">
        <v>227.06</v>
      </c>
      <c r="F41" s="1">
        <v>6</v>
      </c>
      <c r="G41" s="1">
        <v>2</v>
      </c>
      <c r="H41" s="1">
        <v>22.9</v>
      </c>
      <c r="I41" s="1">
        <v>319.06</v>
      </c>
      <c r="K41" s="1">
        <v>6</v>
      </c>
      <c r="L41" s="1">
        <v>2</v>
      </c>
      <c r="M41" s="1">
        <v>22.5</v>
      </c>
      <c r="N41" s="1">
        <v>162.5</v>
      </c>
    </row>
    <row r="42" spans="1:14" x14ac:dyDescent="0.2">
      <c r="A42" s="1">
        <v>7</v>
      </c>
      <c r="B42" s="1">
        <v>2</v>
      </c>
      <c r="C42" s="1">
        <v>26.1</v>
      </c>
      <c r="D42" s="1">
        <v>250.75</v>
      </c>
      <c r="F42" s="1">
        <v>7</v>
      </c>
      <c r="G42" s="1">
        <v>2</v>
      </c>
      <c r="H42" s="1">
        <v>31.3</v>
      </c>
      <c r="I42" s="1">
        <v>390.65</v>
      </c>
      <c r="K42" s="1">
        <v>7</v>
      </c>
      <c r="L42" s="1">
        <v>2</v>
      </c>
      <c r="M42" s="1">
        <v>30.8</v>
      </c>
      <c r="N42" s="1">
        <v>196.94</v>
      </c>
    </row>
    <row r="43" spans="1:14" x14ac:dyDescent="0.2">
      <c r="A43" s="1">
        <v>8</v>
      </c>
      <c r="B43" s="1">
        <v>2</v>
      </c>
      <c r="C43" s="1">
        <v>19</v>
      </c>
      <c r="D43" s="1">
        <v>190.34</v>
      </c>
      <c r="F43" s="1">
        <v>8</v>
      </c>
      <c r="G43" s="1">
        <v>2</v>
      </c>
      <c r="H43" s="1">
        <v>23</v>
      </c>
      <c r="I43" s="1">
        <v>295.55</v>
      </c>
      <c r="K43" s="1">
        <v>8</v>
      </c>
      <c r="L43" s="1">
        <v>2</v>
      </c>
      <c r="M43" s="1">
        <v>22.6</v>
      </c>
      <c r="N43" s="1">
        <v>158.37</v>
      </c>
    </row>
    <row r="44" spans="1:14" x14ac:dyDescent="0.2">
      <c r="A44" s="1">
        <v>9</v>
      </c>
      <c r="B44" s="1">
        <v>2</v>
      </c>
      <c r="C44" s="1">
        <v>25.6</v>
      </c>
      <c r="D44" s="1">
        <v>238.64</v>
      </c>
      <c r="F44" s="1">
        <v>9</v>
      </c>
      <c r="G44" s="1">
        <v>2</v>
      </c>
      <c r="H44" s="1">
        <v>31</v>
      </c>
      <c r="I44" s="1">
        <v>332.1</v>
      </c>
      <c r="K44" s="1">
        <v>9</v>
      </c>
      <c r="L44" s="1">
        <v>2</v>
      </c>
      <c r="M44" s="1">
        <v>30.5</v>
      </c>
      <c r="N44" s="1">
        <v>183.51</v>
      </c>
    </row>
    <row r="45" spans="1:14" x14ac:dyDescent="0.2">
      <c r="A45" s="1">
        <v>10</v>
      </c>
      <c r="B45" s="1">
        <v>3</v>
      </c>
      <c r="C45" s="1">
        <v>24.5</v>
      </c>
      <c r="D45" s="1">
        <v>252.92</v>
      </c>
      <c r="F45" s="1">
        <v>10</v>
      </c>
      <c r="G45" s="1">
        <v>3</v>
      </c>
      <c r="H45" s="1">
        <v>29.6</v>
      </c>
      <c r="I45" s="1">
        <v>403.11</v>
      </c>
      <c r="K45" s="1">
        <v>10</v>
      </c>
      <c r="L45" s="1">
        <v>3</v>
      </c>
      <c r="M45" s="1">
        <v>29.2</v>
      </c>
      <c r="N45" s="1">
        <v>216.39</v>
      </c>
    </row>
    <row r="46" spans="1:14" x14ac:dyDescent="0.2">
      <c r="A46" s="1">
        <v>11</v>
      </c>
      <c r="B46" s="1">
        <v>3</v>
      </c>
      <c r="C46" s="1">
        <v>30.8</v>
      </c>
      <c r="D46" s="1">
        <v>276.22000000000003</v>
      </c>
      <c r="F46" s="1">
        <v>11</v>
      </c>
      <c r="G46" s="1">
        <v>3</v>
      </c>
      <c r="H46" s="1">
        <v>36.9</v>
      </c>
      <c r="I46" s="1">
        <v>414.66</v>
      </c>
      <c r="K46" s="1">
        <v>11</v>
      </c>
      <c r="L46" s="1">
        <v>3</v>
      </c>
      <c r="M46" s="1">
        <v>36.1</v>
      </c>
      <c r="N46" s="1">
        <v>222.88</v>
      </c>
    </row>
    <row r="47" spans="1:14" x14ac:dyDescent="0.2">
      <c r="A47" s="1">
        <v>12</v>
      </c>
      <c r="B47" s="1">
        <v>3</v>
      </c>
      <c r="C47" s="1">
        <v>24.6</v>
      </c>
      <c r="D47" s="1">
        <v>318.51</v>
      </c>
      <c r="F47" s="1">
        <v>12</v>
      </c>
      <c r="G47" s="1">
        <v>3</v>
      </c>
      <c r="H47" s="1">
        <v>29.5</v>
      </c>
      <c r="I47" s="1">
        <v>423.57</v>
      </c>
      <c r="K47" s="1">
        <v>12</v>
      </c>
      <c r="L47" s="1">
        <v>3</v>
      </c>
      <c r="M47" s="1">
        <v>28.9</v>
      </c>
      <c r="N47" s="1">
        <v>234.1</v>
      </c>
    </row>
    <row r="48" spans="1:14" x14ac:dyDescent="0.2">
      <c r="A48" s="1">
        <v>13</v>
      </c>
      <c r="B48" s="1">
        <v>3</v>
      </c>
      <c r="C48" s="1">
        <v>30.8</v>
      </c>
      <c r="D48" s="1">
        <v>326.7</v>
      </c>
      <c r="F48" s="1">
        <v>13</v>
      </c>
      <c r="G48" s="1">
        <v>3</v>
      </c>
      <c r="H48" s="1">
        <v>36.9</v>
      </c>
      <c r="I48" s="1">
        <v>483.77</v>
      </c>
      <c r="K48" s="1">
        <v>13</v>
      </c>
      <c r="L48" s="1">
        <v>3</v>
      </c>
      <c r="M48" s="1">
        <v>36.200000000000003</v>
      </c>
      <c r="N48" s="1">
        <v>297.60000000000002</v>
      </c>
    </row>
    <row r="49" spans="1:14" x14ac:dyDescent="0.2">
      <c r="A49" s="1">
        <v>14</v>
      </c>
      <c r="B49" s="1">
        <v>3</v>
      </c>
      <c r="C49" s="1">
        <v>24.6</v>
      </c>
      <c r="D49" s="1">
        <v>277.42</v>
      </c>
      <c r="F49" s="1">
        <v>14</v>
      </c>
      <c r="G49" s="1">
        <v>3</v>
      </c>
      <c r="H49" s="1">
        <v>29.8</v>
      </c>
      <c r="I49" s="1">
        <v>401.55</v>
      </c>
      <c r="K49" s="1">
        <v>14</v>
      </c>
      <c r="L49" s="1">
        <v>3</v>
      </c>
      <c r="M49" s="1">
        <v>29.2</v>
      </c>
      <c r="N49" s="1">
        <v>239.77</v>
      </c>
    </row>
    <row r="50" spans="1:14" x14ac:dyDescent="0.2">
      <c r="A50" s="1">
        <v>15</v>
      </c>
      <c r="B50" s="1">
        <v>3</v>
      </c>
      <c r="C50" s="1">
        <v>30.4</v>
      </c>
      <c r="D50" s="1">
        <v>285.92</v>
      </c>
      <c r="F50" s="1">
        <v>15</v>
      </c>
      <c r="G50" s="1">
        <v>3</v>
      </c>
      <c r="H50" s="1">
        <v>36.799999999999997</v>
      </c>
      <c r="I50" s="1">
        <v>490.71</v>
      </c>
      <c r="K50" s="1">
        <v>15</v>
      </c>
      <c r="L50" s="1">
        <v>3</v>
      </c>
      <c r="M50" s="1">
        <v>35.9</v>
      </c>
      <c r="N50" s="1">
        <v>252.96</v>
      </c>
    </row>
  </sheetData>
  <mergeCells count="5">
    <mergeCell ref="Q1:S2"/>
    <mergeCell ref="A2:C2"/>
    <mergeCell ref="E2:G2"/>
    <mergeCell ref="I2:K2"/>
    <mergeCell ref="U2:V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1E25-5623-4FE6-AA8D-05884FA8C397}">
  <dimension ref="A1:V50"/>
  <sheetViews>
    <sheetView zoomScale="70" zoomScaleNormal="70" workbookViewId="0">
      <selection activeCell="P1" sqref="P1:S16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7.621093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6.8125" style="1" customWidth="1"/>
    <col min="12" max="14" width="9.14453125" style="1"/>
    <col min="15" max="15" width="8.203125" style="1" bestFit="1" customWidth="1"/>
    <col min="16" max="18" width="9.14453125" style="1" bestFit="1" customWidth="1"/>
    <col min="19" max="19" width="9.14453125" style="1"/>
    <col min="20" max="20" width="10.76171875" style="1" customWidth="1"/>
    <col min="21" max="16384" width="9.14453125" style="1"/>
  </cols>
  <sheetData>
    <row r="1" spans="1:22" x14ac:dyDescent="0.2">
      <c r="Q1" s="104"/>
      <c r="R1" s="104"/>
      <c r="S1" s="104"/>
    </row>
    <row r="2" spans="1:22" ht="15" customHeight="1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  <c r="Q2" s="104"/>
      <c r="R2" s="104"/>
      <c r="S2" s="104"/>
      <c r="U2" s="104" t="s">
        <v>43</v>
      </c>
      <c r="V2" s="104"/>
    </row>
    <row r="3" spans="1:22" ht="27.75" x14ac:dyDescent="0.2">
      <c r="A3" s="1" t="s">
        <v>2</v>
      </c>
      <c r="B3" s="1" t="s">
        <v>6</v>
      </c>
      <c r="C3" s="1" t="s">
        <v>9</v>
      </c>
      <c r="E3" s="1" t="s">
        <v>2</v>
      </c>
      <c r="F3" s="1" t="s">
        <v>6</v>
      </c>
      <c r="G3" s="1" t="s">
        <v>9</v>
      </c>
      <c r="I3" s="1" t="s">
        <v>2</v>
      </c>
      <c r="J3" s="1" t="s">
        <v>6</v>
      </c>
      <c r="K3" s="1" t="s">
        <v>9</v>
      </c>
      <c r="M3" s="1" t="s">
        <v>35</v>
      </c>
      <c r="N3" s="1" t="s">
        <v>36</v>
      </c>
      <c r="O3" s="1" t="s">
        <v>37</v>
      </c>
      <c r="U3" s="1">
        <v>2</v>
      </c>
      <c r="V3" s="1">
        <v>3</v>
      </c>
    </row>
    <row r="4" spans="1:22" x14ac:dyDescent="0.2">
      <c r="A4" s="1">
        <v>4</v>
      </c>
      <c r="B4" s="1">
        <f>C39</f>
        <v>19.2</v>
      </c>
      <c r="C4" s="27">
        <f>D39</f>
        <v>2.07E-2</v>
      </c>
      <c r="E4" s="1">
        <v>4</v>
      </c>
      <c r="F4" s="1">
        <f>H39</f>
        <v>23</v>
      </c>
      <c r="G4" s="27">
        <f>I39</f>
        <v>7.9799999999999996E-2</v>
      </c>
      <c r="I4" s="1">
        <v>4</v>
      </c>
      <c r="J4" s="1">
        <f>M39</f>
        <v>24.4</v>
      </c>
      <c r="K4" s="27">
        <f>N39</f>
        <v>9.9400000000000002E-2</v>
      </c>
      <c r="M4" s="27">
        <f>C4</f>
        <v>2.07E-2</v>
      </c>
      <c r="N4" s="27">
        <f t="shared" ref="N4:N15" si="0">G4</f>
        <v>7.9799999999999996E-2</v>
      </c>
      <c r="O4" s="27">
        <f t="shared" ref="O4:O15" si="1">K4</f>
        <v>9.9400000000000002E-2</v>
      </c>
      <c r="Q4" s="27"/>
      <c r="R4" s="27"/>
      <c r="S4" s="27"/>
      <c r="U4" s="27" cm="1">
        <f t="array" ref="U4:U9">C4:C9</f>
        <v>2.07E-2</v>
      </c>
      <c r="V4" s="27" cm="1">
        <f t="array" ref="V4:V9">C10:C15</f>
        <v>7.9100000000000004E-2</v>
      </c>
    </row>
    <row r="5" spans="1:22" x14ac:dyDescent="0.2">
      <c r="A5" s="1">
        <v>5</v>
      </c>
      <c r="B5" s="1">
        <f t="shared" ref="B5:C15" si="2">C40</f>
        <v>26</v>
      </c>
      <c r="C5" s="27">
        <f t="shared" si="2"/>
        <v>6.0999999999999999E-2</v>
      </c>
      <c r="E5" s="1">
        <v>5</v>
      </c>
      <c r="F5" s="1">
        <f t="shared" ref="F5:G15" si="3">H40</f>
        <v>35.1</v>
      </c>
      <c r="G5" s="27">
        <f t="shared" si="3"/>
        <v>0.13500000000000001</v>
      </c>
      <c r="I5" s="1">
        <v>5</v>
      </c>
      <c r="J5" s="1">
        <f t="shared" ref="J5:K15" si="4">M40</f>
        <v>35.5</v>
      </c>
      <c r="K5" s="27">
        <f t="shared" si="4"/>
        <v>0.2044</v>
      </c>
      <c r="M5" s="27">
        <f t="shared" ref="M5:M16" si="5">C5</f>
        <v>6.0999999999999999E-2</v>
      </c>
      <c r="N5" s="27">
        <f t="shared" si="0"/>
        <v>0.13500000000000001</v>
      </c>
      <c r="O5" s="27">
        <f t="shared" si="1"/>
        <v>0.2044</v>
      </c>
      <c r="Q5" s="27"/>
      <c r="R5" s="27"/>
      <c r="S5" s="27"/>
      <c r="U5" s="1">
        <v>6.0999999999999999E-2</v>
      </c>
      <c r="V5" s="1">
        <v>0.13070000000000001</v>
      </c>
    </row>
    <row r="6" spans="1:22" x14ac:dyDescent="0.2">
      <c r="A6" s="1">
        <v>6</v>
      </c>
      <c r="B6" s="1">
        <f t="shared" si="2"/>
        <v>19</v>
      </c>
      <c r="C6" s="27">
        <f t="shared" si="2"/>
        <v>1.61E-2</v>
      </c>
      <c r="E6" s="1">
        <v>6</v>
      </c>
      <c r="F6" s="1">
        <f t="shared" si="3"/>
        <v>22.9</v>
      </c>
      <c r="G6" s="27">
        <f t="shared" si="3"/>
        <v>6.7299999999999999E-2</v>
      </c>
      <c r="I6" s="1">
        <v>6</v>
      </c>
      <c r="J6" s="1">
        <f t="shared" si="4"/>
        <v>22.5</v>
      </c>
      <c r="K6" s="27">
        <f t="shared" si="4"/>
        <v>7.5200000000000003E-2</v>
      </c>
      <c r="M6" s="27">
        <f t="shared" si="5"/>
        <v>1.61E-2</v>
      </c>
      <c r="N6" s="27">
        <f t="shared" si="0"/>
        <v>6.7299999999999999E-2</v>
      </c>
      <c r="O6" s="27">
        <f t="shared" si="1"/>
        <v>7.5200000000000003E-2</v>
      </c>
      <c r="Q6" s="27"/>
      <c r="R6" s="27"/>
      <c r="S6" s="27"/>
      <c r="U6" s="1">
        <v>1.61E-2</v>
      </c>
      <c r="V6" s="1">
        <v>2.0199999999999999E-2</v>
      </c>
    </row>
    <row r="7" spans="1:22" x14ac:dyDescent="0.2">
      <c r="A7" s="1">
        <v>7</v>
      </c>
      <c r="B7" s="1">
        <f t="shared" si="2"/>
        <v>26.1</v>
      </c>
      <c r="C7" s="27">
        <f t="shared" si="2"/>
        <v>8.9300000000000004E-2</v>
      </c>
      <c r="E7" s="1">
        <v>7</v>
      </c>
      <c r="F7" s="1">
        <f t="shared" si="3"/>
        <v>31.3</v>
      </c>
      <c r="G7" s="27">
        <f t="shared" si="3"/>
        <v>0.12230000000000001</v>
      </c>
      <c r="I7" s="1">
        <v>7</v>
      </c>
      <c r="J7" s="1">
        <f t="shared" si="4"/>
        <v>30.8</v>
      </c>
      <c r="K7" s="27">
        <f t="shared" si="4"/>
        <v>0.11849999999999999</v>
      </c>
      <c r="M7" s="27">
        <f t="shared" si="5"/>
        <v>8.9300000000000004E-2</v>
      </c>
      <c r="N7" s="27">
        <f>G7</f>
        <v>0.12230000000000001</v>
      </c>
      <c r="O7" s="27">
        <f t="shared" si="1"/>
        <v>0.11849999999999999</v>
      </c>
      <c r="Q7" s="27"/>
      <c r="R7" s="27"/>
      <c r="S7" s="27"/>
      <c r="U7" s="1">
        <v>8.9300000000000004E-2</v>
      </c>
      <c r="V7" s="1">
        <v>0.1067</v>
      </c>
    </row>
    <row r="8" spans="1:22" x14ac:dyDescent="0.2">
      <c r="A8" s="1">
        <v>8</v>
      </c>
      <c r="B8" s="1">
        <f t="shared" si="2"/>
        <v>19</v>
      </c>
      <c r="C8" s="27">
        <f t="shared" si="2"/>
        <v>5.8700000000000002E-2</v>
      </c>
      <c r="E8" s="1">
        <v>8</v>
      </c>
      <c r="F8" s="1">
        <f t="shared" si="3"/>
        <v>23</v>
      </c>
      <c r="G8" s="27">
        <f t="shared" si="3"/>
        <v>8.14E-2</v>
      </c>
      <c r="I8" s="1">
        <v>8</v>
      </c>
      <c r="J8" s="1">
        <f t="shared" si="4"/>
        <v>22.6</v>
      </c>
      <c r="K8" s="27">
        <f t="shared" si="4"/>
        <v>4.0099999999999997E-2</v>
      </c>
      <c r="M8" s="27">
        <f t="shared" si="5"/>
        <v>5.8700000000000002E-2</v>
      </c>
      <c r="N8" s="27">
        <f t="shared" si="0"/>
        <v>8.14E-2</v>
      </c>
      <c r="O8" s="27">
        <f t="shared" si="1"/>
        <v>4.0099999999999997E-2</v>
      </c>
      <c r="Q8" s="27"/>
      <c r="R8" s="27"/>
      <c r="S8" s="27"/>
      <c r="U8" s="1">
        <v>5.8700000000000002E-2</v>
      </c>
      <c r="V8" s="1">
        <v>3.9199999999999999E-2</v>
      </c>
    </row>
    <row r="9" spans="1:22" x14ac:dyDescent="0.2">
      <c r="A9" s="1">
        <v>9</v>
      </c>
      <c r="B9" s="1">
        <f t="shared" si="2"/>
        <v>25.6</v>
      </c>
      <c r="C9" s="27">
        <f t="shared" si="2"/>
        <v>2.5600000000000001E-2</v>
      </c>
      <c r="E9" s="1">
        <v>9</v>
      </c>
      <c r="F9" s="1">
        <f>H44</f>
        <v>31</v>
      </c>
      <c r="G9" s="27">
        <f t="shared" si="3"/>
        <v>0.1101</v>
      </c>
      <c r="I9" s="1">
        <v>9</v>
      </c>
      <c r="J9" s="1">
        <f t="shared" si="4"/>
        <v>30.5</v>
      </c>
      <c r="K9" s="27">
        <f t="shared" si="4"/>
        <v>0.12039999999999999</v>
      </c>
      <c r="M9" s="27">
        <f t="shared" si="5"/>
        <v>2.5600000000000001E-2</v>
      </c>
      <c r="N9" s="27">
        <f t="shared" si="0"/>
        <v>0.1101</v>
      </c>
      <c r="O9" s="27">
        <f t="shared" si="1"/>
        <v>0.12039999999999999</v>
      </c>
      <c r="Q9" s="27"/>
      <c r="R9" s="27"/>
      <c r="S9" s="27"/>
      <c r="U9" s="1">
        <v>2.5600000000000001E-2</v>
      </c>
      <c r="V9" s="1">
        <v>9.69E-2</v>
      </c>
    </row>
    <row r="10" spans="1:22" x14ac:dyDescent="0.2">
      <c r="A10" s="1">
        <v>10</v>
      </c>
      <c r="B10" s="1">
        <f t="shared" si="2"/>
        <v>24.5</v>
      </c>
      <c r="C10" s="27">
        <f t="shared" si="2"/>
        <v>7.9100000000000004E-2</v>
      </c>
      <c r="E10" s="1">
        <v>10</v>
      </c>
      <c r="F10" s="1">
        <f t="shared" si="3"/>
        <v>29.6</v>
      </c>
      <c r="G10" s="27">
        <f t="shared" si="3"/>
        <v>0.1157</v>
      </c>
      <c r="I10" s="1">
        <v>10</v>
      </c>
      <c r="J10" s="1">
        <f t="shared" si="4"/>
        <v>29.2</v>
      </c>
      <c r="K10" s="27">
        <f t="shared" si="4"/>
        <v>8.8499999999999995E-2</v>
      </c>
      <c r="M10" s="27">
        <f t="shared" si="5"/>
        <v>7.9100000000000004E-2</v>
      </c>
      <c r="N10" s="27">
        <f t="shared" si="0"/>
        <v>0.1157</v>
      </c>
      <c r="O10" s="27">
        <f t="shared" si="1"/>
        <v>8.8499999999999995E-2</v>
      </c>
      <c r="Q10" s="27"/>
      <c r="R10" s="27"/>
      <c r="S10" s="27"/>
      <c r="U10" s="27" cm="1">
        <f t="array" ref="U10:U15">G4:G9</f>
        <v>7.9799999999999996E-2</v>
      </c>
      <c r="V10" s="27" cm="1">
        <f t="array" ref="V10:V15">G10:G15</f>
        <v>0.1157</v>
      </c>
    </row>
    <row r="11" spans="1:22" x14ac:dyDescent="0.2">
      <c r="A11" s="1">
        <v>11</v>
      </c>
      <c r="B11" s="1">
        <f t="shared" si="2"/>
        <v>30.8</v>
      </c>
      <c r="C11" s="27">
        <f t="shared" si="2"/>
        <v>0.13070000000000001</v>
      </c>
      <c r="E11" s="1">
        <v>11</v>
      </c>
      <c r="F11" s="1">
        <f t="shared" si="3"/>
        <v>36.9</v>
      </c>
      <c r="G11" s="27">
        <f t="shared" si="3"/>
        <v>0.1236</v>
      </c>
      <c r="I11" s="1">
        <v>11</v>
      </c>
      <c r="J11" s="1">
        <f t="shared" si="4"/>
        <v>36.1</v>
      </c>
      <c r="K11" s="27">
        <f t="shared" si="4"/>
        <v>0.16589999999999999</v>
      </c>
      <c r="M11" s="27">
        <f t="shared" si="5"/>
        <v>0.13070000000000001</v>
      </c>
      <c r="N11" s="27">
        <f t="shared" si="0"/>
        <v>0.1236</v>
      </c>
      <c r="O11" s="27">
        <f t="shared" si="1"/>
        <v>0.16589999999999999</v>
      </c>
      <c r="Q11" s="27"/>
      <c r="R11" s="27"/>
      <c r="S11" s="27"/>
      <c r="U11" s="1">
        <v>0.13500000000000001</v>
      </c>
      <c r="V11" s="1">
        <v>0.1236</v>
      </c>
    </row>
    <row r="12" spans="1:22" x14ac:dyDescent="0.2">
      <c r="A12" s="1">
        <v>12</v>
      </c>
      <c r="B12" s="1">
        <f t="shared" si="2"/>
        <v>24.6</v>
      </c>
      <c r="C12" s="27">
        <f t="shared" si="2"/>
        <v>2.0199999999999999E-2</v>
      </c>
      <c r="E12" s="1">
        <v>12</v>
      </c>
      <c r="F12" s="1">
        <f t="shared" si="3"/>
        <v>29.5</v>
      </c>
      <c r="G12" s="27">
        <f t="shared" si="3"/>
        <v>7.0400000000000004E-2</v>
      </c>
      <c r="I12" s="1">
        <v>12</v>
      </c>
      <c r="J12" s="1">
        <f t="shared" si="4"/>
        <v>28.9</v>
      </c>
      <c r="K12" s="27">
        <f t="shared" si="4"/>
        <v>7.2300000000000003E-2</v>
      </c>
      <c r="M12" s="27">
        <f t="shared" si="5"/>
        <v>2.0199999999999999E-2</v>
      </c>
      <c r="N12" s="27">
        <f t="shared" si="0"/>
        <v>7.0400000000000004E-2</v>
      </c>
      <c r="O12" s="27">
        <f>K12</f>
        <v>7.2300000000000003E-2</v>
      </c>
      <c r="Q12" s="27"/>
      <c r="R12" s="27"/>
      <c r="S12" s="27"/>
      <c r="U12" s="1">
        <v>6.7299999999999999E-2</v>
      </c>
      <c r="V12" s="1">
        <v>7.0400000000000004E-2</v>
      </c>
    </row>
    <row r="13" spans="1:22" x14ac:dyDescent="0.2">
      <c r="A13" s="1">
        <v>13</v>
      </c>
      <c r="B13" s="1">
        <f t="shared" si="2"/>
        <v>30.8</v>
      </c>
      <c r="C13" s="27">
        <f t="shared" si="2"/>
        <v>0.1067</v>
      </c>
      <c r="E13" s="1">
        <v>13</v>
      </c>
      <c r="F13" s="1">
        <f t="shared" si="3"/>
        <v>36.9</v>
      </c>
      <c r="G13" s="27">
        <f t="shared" si="3"/>
        <v>0.13370000000000001</v>
      </c>
      <c r="I13" s="1">
        <v>13</v>
      </c>
      <c r="J13" s="1">
        <f t="shared" si="4"/>
        <v>36.200000000000003</v>
      </c>
      <c r="K13" s="27">
        <f t="shared" si="4"/>
        <v>4.5499999999999999E-2</v>
      </c>
      <c r="M13" s="27">
        <f t="shared" si="5"/>
        <v>0.1067</v>
      </c>
      <c r="N13" s="27">
        <f t="shared" si="0"/>
        <v>0.13370000000000001</v>
      </c>
      <c r="O13" s="27">
        <f t="shared" si="1"/>
        <v>4.5499999999999999E-2</v>
      </c>
      <c r="Q13" s="27"/>
      <c r="R13" s="27"/>
      <c r="S13" s="27"/>
      <c r="U13" s="1">
        <v>0.12230000000000001</v>
      </c>
      <c r="V13" s="1">
        <v>0.13370000000000001</v>
      </c>
    </row>
    <row r="14" spans="1:22" x14ac:dyDescent="0.2">
      <c r="A14" s="1">
        <v>14</v>
      </c>
      <c r="B14" s="1">
        <f t="shared" si="2"/>
        <v>24.6</v>
      </c>
      <c r="C14" s="27">
        <f t="shared" si="2"/>
        <v>3.9199999999999999E-2</v>
      </c>
      <c r="E14" s="1">
        <v>14</v>
      </c>
      <c r="F14" s="1">
        <f t="shared" si="3"/>
        <v>29.8</v>
      </c>
      <c r="G14" s="27">
        <f t="shared" si="3"/>
        <v>9.0700000000000003E-2</v>
      </c>
      <c r="I14" s="1">
        <v>14</v>
      </c>
      <c r="J14" s="1">
        <f t="shared" si="4"/>
        <v>29.2</v>
      </c>
      <c r="K14" s="27">
        <f t="shared" si="4"/>
        <v>4.5499999999999999E-2</v>
      </c>
      <c r="M14" s="27">
        <f t="shared" si="5"/>
        <v>3.9199999999999999E-2</v>
      </c>
      <c r="N14" s="27">
        <f t="shared" si="0"/>
        <v>9.0700000000000003E-2</v>
      </c>
      <c r="O14" s="27">
        <f t="shared" si="1"/>
        <v>4.5499999999999999E-2</v>
      </c>
      <c r="Q14" s="27"/>
      <c r="R14" s="27"/>
      <c r="S14" s="27"/>
      <c r="U14" s="1">
        <v>8.14E-2</v>
      </c>
      <c r="V14" s="1">
        <v>9.0700000000000003E-2</v>
      </c>
    </row>
    <row r="15" spans="1:22" x14ac:dyDescent="0.2">
      <c r="A15" s="1">
        <v>15</v>
      </c>
      <c r="B15" s="1">
        <f t="shared" si="2"/>
        <v>30.4</v>
      </c>
      <c r="C15" s="27">
        <f t="shared" si="2"/>
        <v>9.69E-2</v>
      </c>
      <c r="E15" s="1">
        <v>15</v>
      </c>
      <c r="F15" s="1">
        <f t="shared" si="3"/>
        <v>36.799999999999997</v>
      </c>
      <c r="G15" s="27">
        <f t="shared" si="3"/>
        <v>6.6299999999999998E-2</v>
      </c>
      <c r="I15" s="1">
        <v>15</v>
      </c>
      <c r="J15" s="1">
        <f t="shared" si="4"/>
        <v>35.9</v>
      </c>
      <c r="K15" s="27">
        <f t="shared" si="4"/>
        <v>7.9399999999999998E-2</v>
      </c>
      <c r="M15" s="27">
        <f t="shared" si="5"/>
        <v>9.69E-2</v>
      </c>
      <c r="N15" s="27">
        <f t="shared" si="0"/>
        <v>6.6299999999999998E-2</v>
      </c>
      <c r="O15" s="27">
        <f t="shared" si="1"/>
        <v>7.9399999999999998E-2</v>
      </c>
      <c r="Q15" s="27"/>
      <c r="R15" s="27"/>
      <c r="S15" s="27"/>
      <c r="U15" s="1">
        <v>0.1101</v>
      </c>
      <c r="V15" s="1">
        <v>6.6299999999999998E-2</v>
      </c>
    </row>
    <row r="16" spans="1:22" ht="54.75" x14ac:dyDescent="0.2">
      <c r="A16" s="1" t="s">
        <v>42</v>
      </c>
      <c r="B16" s="1" t="s">
        <v>44</v>
      </c>
      <c r="C16" s="27"/>
      <c r="G16" s="27"/>
      <c r="K16" s="27"/>
      <c r="U16" s="27" cm="1">
        <f t="array" ref="U16:U21">K4:K9</f>
        <v>9.9400000000000002E-2</v>
      </c>
      <c r="V16" s="27" cm="1">
        <f t="array" ref="V16:V21">K10:K15</f>
        <v>8.8499999999999995E-2</v>
      </c>
    </row>
    <row r="17" spans="1:22" x14ac:dyDescent="0.2">
      <c r="A17" s="1">
        <v>2</v>
      </c>
      <c r="B17" s="27">
        <f>AVERAGE(M4:O9)</f>
        <v>8.4738888888888905E-2</v>
      </c>
      <c r="U17" s="1">
        <v>0.2044</v>
      </c>
      <c r="V17" s="1">
        <v>0.16589999999999999</v>
      </c>
    </row>
    <row r="18" spans="1:22" x14ac:dyDescent="0.2">
      <c r="A18" s="1">
        <v>3</v>
      </c>
      <c r="B18" s="27">
        <f>AVERAGE(M10:O15)</f>
        <v>8.7238888888888894E-2</v>
      </c>
      <c r="U18" s="1">
        <v>7.5200000000000003E-2</v>
      </c>
      <c r="V18" s="1">
        <v>7.2300000000000003E-2</v>
      </c>
    </row>
    <row r="19" spans="1:22" x14ac:dyDescent="0.2">
      <c r="B19" s="27"/>
      <c r="U19" s="1">
        <v>0.11849999999999999</v>
      </c>
      <c r="V19" s="1">
        <v>4.5499999999999999E-2</v>
      </c>
    </row>
    <row r="20" spans="1:22" x14ac:dyDescent="0.2">
      <c r="U20" s="1">
        <v>4.0099999999999997E-2</v>
      </c>
      <c r="V20" s="1">
        <v>4.5499999999999999E-2</v>
      </c>
    </row>
    <row r="21" spans="1:22" ht="27.75" x14ac:dyDescent="0.2">
      <c r="A21" s="1" t="s">
        <v>40</v>
      </c>
      <c r="B21" s="79">
        <f>(1-B17/B18)</f>
        <v>2.8656944532891693E-2</v>
      </c>
      <c r="U21" s="1">
        <v>0.12039999999999999</v>
      </c>
      <c r="V21" s="1">
        <v>7.9399999999999998E-2</v>
      </c>
    </row>
    <row r="34" spans="1:14" x14ac:dyDescent="0.2">
      <c r="A34" s="1" t="s">
        <v>35</v>
      </c>
      <c r="F34" s="1" t="s">
        <v>36</v>
      </c>
      <c r="K34" s="1" t="s">
        <v>37</v>
      </c>
    </row>
    <row r="35" spans="1:14" ht="54.75" x14ac:dyDescent="0.2">
      <c r="A35" s="1" t="s">
        <v>2</v>
      </c>
      <c r="B35" s="1" t="s">
        <v>5</v>
      </c>
      <c r="C35" s="1" t="s">
        <v>6</v>
      </c>
      <c r="D35" s="1" t="s">
        <v>9</v>
      </c>
      <c r="F35" s="1" t="s">
        <v>2</v>
      </c>
      <c r="G35" s="1" t="s">
        <v>5</v>
      </c>
      <c r="H35" s="1" t="s">
        <v>6</v>
      </c>
      <c r="I35" s="1" t="s">
        <v>9</v>
      </c>
      <c r="K35" s="1" t="s">
        <v>2</v>
      </c>
      <c r="L35" s="1" t="s">
        <v>5</v>
      </c>
      <c r="M35" s="1" t="s">
        <v>6</v>
      </c>
      <c r="N35" s="1" t="s">
        <v>9</v>
      </c>
    </row>
    <row r="36" spans="1:14" x14ac:dyDescent="0.2">
      <c r="A36" s="1">
        <v>1</v>
      </c>
      <c r="B36" s="1" t="s">
        <v>16</v>
      </c>
      <c r="C36" s="1">
        <v>61.3</v>
      </c>
      <c r="D36" s="1">
        <v>0.23499999999999999</v>
      </c>
      <c r="F36" s="1">
        <v>1</v>
      </c>
      <c r="G36" s="1" t="s">
        <v>16</v>
      </c>
      <c r="H36" s="1">
        <v>73</v>
      </c>
      <c r="I36" s="1">
        <v>0.1056</v>
      </c>
      <c r="K36" s="1">
        <v>1</v>
      </c>
      <c r="L36" s="1" t="s">
        <v>16</v>
      </c>
      <c r="M36" s="1">
        <v>74.599999999999994</v>
      </c>
      <c r="N36" s="1">
        <v>0.28489999999999999</v>
      </c>
    </row>
    <row r="37" spans="1:14" x14ac:dyDescent="0.2">
      <c r="A37" s="1">
        <v>2</v>
      </c>
      <c r="B37" s="1">
        <v>2</v>
      </c>
      <c r="C37" s="1">
        <v>20</v>
      </c>
      <c r="D37" s="1">
        <v>2.93E-2</v>
      </c>
      <c r="F37" s="1">
        <v>2</v>
      </c>
      <c r="G37" s="1">
        <v>2</v>
      </c>
      <c r="H37" s="1">
        <v>16.7</v>
      </c>
      <c r="I37" s="1">
        <v>3.27E-2</v>
      </c>
      <c r="K37" s="1">
        <v>2</v>
      </c>
      <c r="L37" s="1">
        <v>2</v>
      </c>
      <c r="M37" s="1">
        <v>18</v>
      </c>
      <c r="N37" s="1">
        <v>7.4200000000000002E-2</v>
      </c>
    </row>
    <row r="38" spans="1:14" x14ac:dyDescent="0.2">
      <c r="A38" s="1">
        <v>3</v>
      </c>
      <c r="B38" s="1">
        <v>3</v>
      </c>
      <c r="C38" s="1">
        <v>25.5</v>
      </c>
      <c r="D38" s="1">
        <v>3.2300000000000002E-2</v>
      </c>
      <c r="F38" s="1">
        <v>3</v>
      </c>
      <c r="G38" s="1">
        <v>3</v>
      </c>
      <c r="H38" s="1">
        <v>24.1</v>
      </c>
      <c r="I38" s="1">
        <v>2.35E-2</v>
      </c>
      <c r="K38" s="1">
        <v>3</v>
      </c>
      <c r="L38" s="1">
        <v>3</v>
      </c>
      <c r="M38" s="1">
        <v>26.7</v>
      </c>
      <c r="N38" s="1">
        <v>2.5899999999999999E-2</v>
      </c>
    </row>
    <row r="39" spans="1:14" x14ac:dyDescent="0.2">
      <c r="A39" s="1">
        <v>4</v>
      </c>
      <c r="B39" s="1">
        <v>2</v>
      </c>
      <c r="C39" s="1">
        <v>19.2</v>
      </c>
      <c r="D39" s="1">
        <v>2.07E-2</v>
      </c>
      <c r="F39" s="1">
        <v>4</v>
      </c>
      <c r="G39" s="1">
        <v>2</v>
      </c>
      <c r="H39" s="1">
        <v>23</v>
      </c>
      <c r="I39" s="1">
        <v>7.9799999999999996E-2</v>
      </c>
      <c r="K39" s="1">
        <v>4</v>
      </c>
      <c r="L39" s="1">
        <v>2</v>
      </c>
      <c r="M39" s="1">
        <v>24.4</v>
      </c>
      <c r="N39" s="1">
        <v>9.9400000000000002E-2</v>
      </c>
    </row>
    <row r="40" spans="1:14" x14ac:dyDescent="0.2">
      <c r="A40" s="1">
        <v>5</v>
      </c>
      <c r="B40" s="1">
        <v>2</v>
      </c>
      <c r="C40" s="1">
        <v>26</v>
      </c>
      <c r="D40" s="1">
        <v>6.0999999999999999E-2</v>
      </c>
      <c r="F40" s="1">
        <v>5</v>
      </c>
      <c r="G40" s="1">
        <v>2</v>
      </c>
      <c r="H40" s="1">
        <v>35.1</v>
      </c>
      <c r="I40" s="1">
        <v>0.13500000000000001</v>
      </c>
      <c r="K40" s="1">
        <v>5</v>
      </c>
      <c r="L40" s="1">
        <v>2</v>
      </c>
      <c r="M40" s="1">
        <v>35.5</v>
      </c>
      <c r="N40" s="1">
        <v>0.2044</v>
      </c>
    </row>
    <row r="41" spans="1:14" x14ac:dyDescent="0.2">
      <c r="A41" s="1">
        <v>6</v>
      </c>
      <c r="B41" s="1">
        <v>2</v>
      </c>
      <c r="C41" s="1">
        <v>19</v>
      </c>
      <c r="D41" s="1">
        <v>1.61E-2</v>
      </c>
      <c r="F41" s="1">
        <v>6</v>
      </c>
      <c r="G41" s="1">
        <v>2</v>
      </c>
      <c r="H41" s="1">
        <v>22.9</v>
      </c>
      <c r="I41" s="1">
        <v>6.7299999999999999E-2</v>
      </c>
      <c r="K41" s="1">
        <v>6</v>
      </c>
      <c r="L41" s="1">
        <v>2</v>
      </c>
      <c r="M41" s="1">
        <v>22.5</v>
      </c>
      <c r="N41" s="1">
        <v>7.5200000000000003E-2</v>
      </c>
    </row>
    <row r="42" spans="1:14" x14ac:dyDescent="0.2">
      <c r="A42" s="1">
        <v>7</v>
      </c>
      <c r="B42" s="1">
        <v>2</v>
      </c>
      <c r="C42" s="1">
        <v>26.1</v>
      </c>
      <c r="D42" s="1">
        <v>8.9300000000000004E-2</v>
      </c>
      <c r="F42" s="1">
        <v>7</v>
      </c>
      <c r="G42" s="1">
        <v>2</v>
      </c>
      <c r="H42" s="1">
        <v>31.3</v>
      </c>
      <c r="I42" s="1">
        <v>0.12230000000000001</v>
      </c>
      <c r="K42" s="1">
        <v>7</v>
      </c>
      <c r="L42" s="1">
        <v>2</v>
      </c>
      <c r="M42" s="1">
        <v>30.8</v>
      </c>
      <c r="N42" s="1">
        <v>0.11849999999999999</v>
      </c>
    </row>
    <row r="43" spans="1:14" x14ac:dyDescent="0.2">
      <c r="A43" s="1">
        <v>8</v>
      </c>
      <c r="B43" s="1">
        <v>2</v>
      </c>
      <c r="C43" s="1">
        <v>19</v>
      </c>
      <c r="D43" s="1">
        <v>5.8700000000000002E-2</v>
      </c>
      <c r="F43" s="1">
        <v>8</v>
      </c>
      <c r="G43" s="1">
        <v>2</v>
      </c>
      <c r="H43" s="1">
        <v>23</v>
      </c>
      <c r="I43" s="1">
        <v>8.14E-2</v>
      </c>
      <c r="K43" s="1">
        <v>8</v>
      </c>
      <c r="L43" s="1">
        <v>2</v>
      </c>
      <c r="M43" s="1">
        <v>22.6</v>
      </c>
      <c r="N43" s="1">
        <v>4.0099999999999997E-2</v>
      </c>
    </row>
    <row r="44" spans="1:14" x14ac:dyDescent="0.2">
      <c r="A44" s="1">
        <v>9</v>
      </c>
      <c r="B44" s="1">
        <v>2</v>
      </c>
      <c r="C44" s="1">
        <v>25.6</v>
      </c>
      <c r="D44" s="1">
        <v>2.5600000000000001E-2</v>
      </c>
      <c r="F44" s="1">
        <v>9</v>
      </c>
      <c r="G44" s="1">
        <v>2</v>
      </c>
      <c r="H44" s="1">
        <v>31</v>
      </c>
      <c r="I44" s="1">
        <v>0.1101</v>
      </c>
      <c r="K44" s="1">
        <v>9</v>
      </c>
      <c r="L44" s="1">
        <v>2</v>
      </c>
      <c r="M44" s="1">
        <v>30.5</v>
      </c>
      <c r="N44" s="1">
        <v>0.12039999999999999</v>
      </c>
    </row>
    <row r="45" spans="1:14" x14ac:dyDescent="0.2">
      <c r="A45" s="1">
        <v>10</v>
      </c>
      <c r="B45" s="1">
        <v>3</v>
      </c>
      <c r="C45" s="1">
        <v>24.5</v>
      </c>
      <c r="D45" s="1">
        <v>7.9100000000000004E-2</v>
      </c>
      <c r="F45" s="1">
        <v>10</v>
      </c>
      <c r="G45" s="1">
        <v>3</v>
      </c>
      <c r="H45" s="1">
        <v>29.6</v>
      </c>
      <c r="I45" s="1">
        <v>0.1157</v>
      </c>
      <c r="K45" s="1">
        <v>10</v>
      </c>
      <c r="L45" s="1">
        <v>3</v>
      </c>
      <c r="M45" s="1">
        <v>29.2</v>
      </c>
      <c r="N45" s="1">
        <v>8.8499999999999995E-2</v>
      </c>
    </row>
    <row r="46" spans="1:14" x14ac:dyDescent="0.2">
      <c r="A46" s="1">
        <v>11</v>
      </c>
      <c r="B46" s="1">
        <v>3</v>
      </c>
      <c r="C46" s="1">
        <v>30.8</v>
      </c>
      <c r="D46" s="1">
        <v>0.13070000000000001</v>
      </c>
      <c r="F46" s="1">
        <v>11</v>
      </c>
      <c r="G46" s="1">
        <v>3</v>
      </c>
      <c r="H46" s="1">
        <v>36.9</v>
      </c>
      <c r="I46" s="1">
        <v>0.1236</v>
      </c>
      <c r="K46" s="1">
        <v>11</v>
      </c>
      <c r="L46" s="1">
        <v>3</v>
      </c>
      <c r="M46" s="1">
        <v>36.1</v>
      </c>
      <c r="N46" s="1">
        <v>0.16589999999999999</v>
      </c>
    </row>
    <row r="47" spans="1:14" x14ac:dyDescent="0.2">
      <c r="A47" s="1">
        <v>12</v>
      </c>
      <c r="B47" s="1">
        <v>3</v>
      </c>
      <c r="C47" s="1">
        <v>24.6</v>
      </c>
      <c r="D47" s="1">
        <v>2.0199999999999999E-2</v>
      </c>
      <c r="F47" s="1">
        <v>12</v>
      </c>
      <c r="G47" s="1">
        <v>3</v>
      </c>
      <c r="H47" s="1">
        <v>29.5</v>
      </c>
      <c r="I47" s="1">
        <v>7.0400000000000004E-2</v>
      </c>
      <c r="K47" s="1">
        <v>12</v>
      </c>
      <c r="L47" s="1">
        <v>3</v>
      </c>
      <c r="M47" s="1">
        <v>28.9</v>
      </c>
      <c r="N47" s="1">
        <v>7.2300000000000003E-2</v>
      </c>
    </row>
    <row r="48" spans="1:14" x14ac:dyDescent="0.2">
      <c r="A48" s="1">
        <v>13</v>
      </c>
      <c r="B48" s="1">
        <v>3</v>
      </c>
      <c r="C48" s="1">
        <v>30.8</v>
      </c>
      <c r="D48" s="1">
        <v>0.1067</v>
      </c>
      <c r="F48" s="1">
        <v>13</v>
      </c>
      <c r="G48" s="1">
        <v>3</v>
      </c>
      <c r="H48" s="1">
        <v>36.9</v>
      </c>
      <c r="I48" s="1">
        <v>0.13370000000000001</v>
      </c>
      <c r="K48" s="1">
        <v>13</v>
      </c>
      <c r="L48" s="1">
        <v>3</v>
      </c>
      <c r="M48" s="1">
        <v>36.200000000000003</v>
      </c>
      <c r="N48" s="1">
        <v>4.5499999999999999E-2</v>
      </c>
    </row>
    <row r="49" spans="1:14" x14ac:dyDescent="0.2">
      <c r="A49" s="1">
        <v>14</v>
      </c>
      <c r="B49" s="1">
        <v>3</v>
      </c>
      <c r="C49" s="1">
        <v>24.6</v>
      </c>
      <c r="D49" s="1">
        <v>3.9199999999999999E-2</v>
      </c>
      <c r="F49" s="1">
        <v>14</v>
      </c>
      <c r="G49" s="1">
        <v>3</v>
      </c>
      <c r="H49" s="1">
        <v>29.8</v>
      </c>
      <c r="I49" s="1">
        <v>9.0700000000000003E-2</v>
      </c>
      <c r="K49" s="1">
        <v>14</v>
      </c>
      <c r="L49" s="1">
        <v>3</v>
      </c>
      <c r="M49" s="1">
        <v>29.2</v>
      </c>
      <c r="N49" s="1">
        <v>4.5499999999999999E-2</v>
      </c>
    </row>
    <row r="50" spans="1:14" x14ac:dyDescent="0.2">
      <c r="A50" s="1">
        <v>15</v>
      </c>
      <c r="B50" s="1">
        <v>3</v>
      </c>
      <c r="C50" s="1">
        <v>30.4</v>
      </c>
      <c r="D50" s="1">
        <v>9.69E-2</v>
      </c>
      <c r="F50" s="1">
        <v>15</v>
      </c>
      <c r="G50" s="1">
        <v>3</v>
      </c>
      <c r="H50" s="1">
        <v>36.799999999999997</v>
      </c>
      <c r="I50" s="1">
        <v>6.6299999999999998E-2</v>
      </c>
      <c r="K50" s="1">
        <v>15</v>
      </c>
      <c r="L50" s="1">
        <v>3</v>
      </c>
      <c r="M50" s="1">
        <v>35.9</v>
      </c>
      <c r="N50" s="1">
        <v>7.9399999999999998E-2</v>
      </c>
    </row>
  </sheetData>
  <mergeCells count="5">
    <mergeCell ref="Q1:S2"/>
    <mergeCell ref="A2:C2"/>
    <mergeCell ref="E2:G2"/>
    <mergeCell ref="I2:K2"/>
    <mergeCell ref="U2:V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6362-04C6-4655-97C5-0B93E2F0FDA8}">
  <dimension ref="A1:V50"/>
  <sheetViews>
    <sheetView tabSelected="1" zoomScale="70" zoomScaleNormal="70" workbookViewId="0">
      <selection activeCell="U25" sqref="U25"/>
    </sheetView>
  </sheetViews>
  <sheetFormatPr defaultColWidth="9.14453125" defaultRowHeight="15" x14ac:dyDescent="0.2"/>
  <cols>
    <col min="1" max="1" width="11.703125" style="1" bestFit="1" customWidth="1"/>
    <col min="2" max="2" width="9.55078125" style="1" bestFit="1" customWidth="1"/>
    <col min="3" max="3" width="17.62109375" style="1" customWidth="1"/>
    <col min="4" max="6" width="9.14453125" style="1"/>
    <col min="7" max="7" width="17.08203125" style="1" customWidth="1"/>
    <col min="8" max="9" width="9.14453125" style="1"/>
    <col min="10" max="10" width="16.0078125" style="1" customWidth="1"/>
    <col min="11" max="11" width="16.8125" style="1" customWidth="1"/>
    <col min="12" max="14" width="9.14453125" style="1"/>
    <col min="15" max="15" width="8.203125" style="1" bestFit="1" customWidth="1"/>
    <col min="16" max="18" width="9.14453125" style="1" bestFit="1" customWidth="1"/>
    <col min="19" max="19" width="9.14453125" style="1"/>
    <col min="20" max="20" width="10.76171875" style="1" customWidth="1"/>
    <col min="21" max="16384" width="9.14453125" style="1"/>
  </cols>
  <sheetData>
    <row r="1" spans="1:22" x14ac:dyDescent="0.2">
      <c r="Q1" s="104"/>
      <c r="R1" s="104"/>
      <c r="S1" s="104"/>
    </row>
    <row r="2" spans="1:22" ht="15" customHeight="1" x14ac:dyDescent="0.2">
      <c r="A2" s="104" t="s">
        <v>35</v>
      </c>
      <c r="B2" s="104"/>
      <c r="C2" s="104"/>
      <c r="E2" s="104" t="s">
        <v>36</v>
      </c>
      <c r="F2" s="104"/>
      <c r="G2" s="104"/>
      <c r="I2" s="104" t="s">
        <v>37</v>
      </c>
      <c r="J2" s="104"/>
      <c r="K2" s="104"/>
      <c r="Q2" s="104"/>
      <c r="R2" s="104"/>
      <c r="S2" s="104"/>
      <c r="U2" s="104" t="s">
        <v>43</v>
      </c>
      <c r="V2" s="104"/>
    </row>
    <row r="3" spans="1:22" ht="27.75" x14ac:dyDescent="0.2">
      <c r="A3" s="1" t="s">
        <v>2</v>
      </c>
      <c r="B3" s="1" t="s">
        <v>6</v>
      </c>
      <c r="C3" s="1" t="s">
        <v>10</v>
      </c>
      <c r="E3" s="1" t="s">
        <v>2</v>
      </c>
      <c r="F3" s="1" t="s">
        <v>6</v>
      </c>
      <c r="G3" s="1" t="s">
        <v>10</v>
      </c>
      <c r="I3" s="1" t="s">
        <v>2</v>
      </c>
      <c r="J3" s="1" t="s">
        <v>6</v>
      </c>
      <c r="K3" s="1" t="s">
        <v>10</v>
      </c>
      <c r="M3" s="1" t="s">
        <v>35</v>
      </c>
      <c r="N3" s="1" t="s">
        <v>36</v>
      </c>
      <c r="O3" s="1" t="s">
        <v>37</v>
      </c>
      <c r="U3" s="1">
        <v>2</v>
      </c>
      <c r="V3" s="1">
        <v>3</v>
      </c>
    </row>
    <row r="4" spans="1:22" x14ac:dyDescent="0.2">
      <c r="A4" s="1">
        <v>4</v>
      </c>
      <c r="B4" s="1">
        <f>C39</f>
        <v>19.2</v>
      </c>
      <c r="C4" s="27">
        <f>D39</f>
        <v>0.50519999999999998</v>
      </c>
      <c r="E4" s="1">
        <v>4</v>
      </c>
      <c r="F4" s="1">
        <f>H39</f>
        <v>23</v>
      </c>
      <c r="G4" s="27">
        <f>I39</f>
        <v>1.1251</v>
      </c>
      <c r="I4" s="1">
        <v>4</v>
      </c>
      <c r="J4" s="1">
        <f>M39</f>
        <v>24.4</v>
      </c>
      <c r="K4" s="27">
        <f>N39</f>
        <v>1.0670999999999999</v>
      </c>
      <c r="M4" s="27">
        <f>C4</f>
        <v>0.50519999999999998</v>
      </c>
      <c r="N4" s="27">
        <f t="shared" ref="N4:N15" si="0">G4</f>
        <v>1.1251</v>
      </c>
      <c r="O4" s="27">
        <f t="shared" ref="O4:O15" si="1">K4</f>
        <v>1.0670999999999999</v>
      </c>
      <c r="Q4" s="27"/>
      <c r="R4" s="27"/>
      <c r="S4" s="27"/>
      <c r="U4" s="27" cm="1">
        <f t="array" ref="U4:U9">C4:C9</f>
        <v>0.50519999999999998</v>
      </c>
      <c r="V4" s="27" cm="1">
        <f t="array" ref="V4:V9">C10:C15</f>
        <v>1.1189</v>
      </c>
    </row>
    <row r="5" spans="1:22" x14ac:dyDescent="0.2">
      <c r="A5" s="1">
        <v>5</v>
      </c>
      <c r="B5" s="1">
        <f t="shared" ref="B5:C15" si="2">C40</f>
        <v>26</v>
      </c>
      <c r="C5" s="27">
        <f t="shared" si="2"/>
        <v>0.88429999999999997</v>
      </c>
      <c r="E5" s="1">
        <v>5</v>
      </c>
      <c r="F5" s="1">
        <f t="shared" ref="F5:G15" si="3">H40</f>
        <v>35.1</v>
      </c>
      <c r="G5" s="27">
        <f t="shared" si="3"/>
        <v>1.7471000000000001</v>
      </c>
      <c r="I5" s="1">
        <v>5</v>
      </c>
      <c r="J5" s="1">
        <f t="shared" ref="J5:K15" si="4">M40</f>
        <v>35.5</v>
      </c>
      <c r="K5" s="27">
        <f t="shared" si="4"/>
        <v>1.5927</v>
      </c>
      <c r="M5" s="27">
        <f t="shared" ref="M5:M16" si="5">C5</f>
        <v>0.88429999999999997</v>
      </c>
      <c r="N5" s="27">
        <f t="shared" si="0"/>
        <v>1.7471000000000001</v>
      </c>
      <c r="O5" s="27">
        <f t="shared" si="1"/>
        <v>1.5927</v>
      </c>
      <c r="Q5" s="27"/>
      <c r="R5" s="27"/>
      <c r="S5" s="27"/>
      <c r="U5" s="1">
        <v>0.88429999999999997</v>
      </c>
      <c r="V5" s="1">
        <v>1.518</v>
      </c>
    </row>
    <row r="6" spans="1:22" x14ac:dyDescent="0.2">
      <c r="A6" s="1">
        <v>6</v>
      </c>
      <c r="B6" s="1">
        <f t="shared" si="2"/>
        <v>19</v>
      </c>
      <c r="C6" s="27">
        <f t="shared" si="2"/>
        <v>0.4627</v>
      </c>
      <c r="E6" s="1">
        <v>6</v>
      </c>
      <c r="F6" s="1">
        <f t="shared" si="3"/>
        <v>22.9</v>
      </c>
      <c r="G6" s="27">
        <f t="shared" si="3"/>
        <v>1.1477999999999999</v>
      </c>
      <c r="I6" s="1">
        <v>6</v>
      </c>
      <c r="J6" s="1">
        <f t="shared" si="4"/>
        <v>22.5</v>
      </c>
      <c r="K6" s="27">
        <f t="shared" si="4"/>
        <v>0.85489999999999999</v>
      </c>
      <c r="M6" s="27">
        <f t="shared" si="5"/>
        <v>0.4627</v>
      </c>
      <c r="N6" s="27">
        <f t="shared" si="0"/>
        <v>1.1477999999999999</v>
      </c>
      <c r="O6" s="27">
        <f t="shared" si="1"/>
        <v>0.85489999999999999</v>
      </c>
      <c r="Q6" s="27"/>
      <c r="R6" s="27"/>
      <c r="S6" s="27"/>
      <c r="U6" s="1">
        <v>0.4627</v>
      </c>
      <c r="V6" s="1">
        <v>0.60750000000000004</v>
      </c>
    </row>
    <row r="7" spans="1:22" x14ac:dyDescent="0.2">
      <c r="A7" s="1">
        <v>7</v>
      </c>
      <c r="B7" s="1">
        <f t="shared" si="2"/>
        <v>26.1</v>
      </c>
      <c r="C7" s="27">
        <f t="shared" si="2"/>
        <v>1.1915</v>
      </c>
      <c r="E7" s="1">
        <v>7</v>
      </c>
      <c r="F7" s="1">
        <f t="shared" si="3"/>
        <v>31.3</v>
      </c>
      <c r="G7" s="27">
        <f t="shared" si="3"/>
        <v>1.7310000000000001</v>
      </c>
      <c r="I7" s="1">
        <v>7</v>
      </c>
      <c r="J7" s="1">
        <f t="shared" si="4"/>
        <v>30.8</v>
      </c>
      <c r="K7" s="27">
        <f t="shared" si="4"/>
        <v>1.2203999999999999</v>
      </c>
      <c r="M7" s="27">
        <f t="shared" si="5"/>
        <v>1.1915</v>
      </c>
      <c r="N7" s="27">
        <f>G7</f>
        <v>1.7310000000000001</v>
      </c>
      <c r="O7" s="27">
        <f t="shared" si="1"/>
        <v>1.2203999999999999</v>
      </c>
      <c r="Q7" s="27"/>
      <c r="R7" s="27"/>
      <c r="S7" s="27"/>
      <c r="U7" s="1">
        <v>1.1915</v>
      </c>
      <c r="V7" s="1">
        <v>1.4839</v>
      </c>
    </row>
    <row r="8" spans="1:22" x14ac:dyDescent="0.2">
      <c r="A8" s="1">
        <v>8</v>
      </c>
      <c r="B8" s="1">
        <f t="shared" si="2"/>
        <v>19</v>
      </c>
      <c r="C8" s="27">
        <f t="shared" si="2"/>
        <v>0.8357</v>
      </c>
      <c r="E8" s="1">
        <v>8</v>
      </c>
      <c r="F8" s="1">
        <f t="shared" si="3"/>
        <v>23</v>
      </c>
      <c r="G8" s="27">
        <f t="shared" si="3"/>
        <v>1.2306999999999999</v>
      </c>
      <c r="I8" s="1">
        <v>8</v>
      </c>
      <c r="J8" s="1">
        <f t="shared" si="4"/>
        <v>22.6</v>
      </c>
      <c r="K8" s="27">
        <f t="shared" si="4"/>
        <v>0.63260000000000005</v>
      </c>
      <c r="M8" s="27">
        <f t="shared" si="5"/>
        <v>0.8357</v>
      </c>
      <c r="N8" s="27">
        <f t="shared" si="0"/>
        <v>1.2306999999999999</v>
      </c>
      <c r="O8" s="27">
        <f t="shared" si="1"/>
        <v>0.63260000000000005</v>
      </c>
      <c r="Q8" s="27"/>
      <c r="R8" s="27"/>
      <c r="S8" s="27"/>
      <c r="U8" s="1">
        <v>0.8357</v>
      </c>
      <c r="V8" s="1">
        <v>0.81379999999999997</v>
      </c>
    </row>
    <row r="9" spans="1:22" x14ac:dyDescent="0.2">
      <c r="A9" s="1">
        <v>9</v>
      </c>
      <c r="B9" s="1">
        <f t="shared" si="2"/>
        <v>25.6</v>
      </c>
      <c r="C9" s="27">
        <f t="shared" si="2"/>
        <v>0.60750000000000004</v>
      </c>
      <c r="E9" s="1">
        <v>9</v>
      </c>
      <c r="F9" s="1">
        <f>H44</f>
        <v>31</v>
      </c>
      <c r="G9" s="27">
        <f t="shared" si="3"/>
        <v>1.5125999999999999</v>
      </c>
      <c r="I9" s="1">
        <v>9</v>
      </c>
      <c r="J9" s="1">
        <f t="shared" si="4"/>
        <v>30.5</v>
      </c>
      <c r="K9" s="27">
        <f t="shared" si="4"/>
        <v>1.1698999999999999</v>
      </c>
      <c r="M9" s="27">
        <f t="shared" si="5"/>
        <v>0.60750000000000004</v>
      </c>
      <c r="N9" s="27">
        <f t="shared" si="0"/>
        <v>1.5125999999999999</v>
      </c>
      <c r="O9" s="27">
        <f t="shared" si="1"/>
        <v>1.1698999999999999</v>
      </c>
      <c r="Q9" s="27"/>
      <c r="R9" s="27"/>
      <c r="S9" s="27"/>
      <c r="U9" s="1">
        <v>0.60750000000000004</v>
      </c>
      <c r="V9" s="1">
        <v>1.3223</v>
      </c>
    </row>
    <row r="10" spans="1:22" x14ac:dyDescent="0.2">
      <c r="A10" s="1">
        <v>10</v>
      </c>
      <c r="B10" s="1">
        <f t="shared" si="2"/>
        <v>24.5</v>
      </c>
      <c r="C10" s="27">
        <f t="shared" si="2"/>
        <v>1.1189</v>
      </c>
      <c r="E10" s="1">
        <v>10</v>
      </c>
      <c r="F10" s="1">
        <f t="shared" si="3"/>
        <v>29.6</v>
      </c>
      <c r="G10" s="27">
        <f t="shared" si="3"/>
        <v>1.7043999999999999</v>
      </c>
      <c r="I10" s="1">
        <v>10</v>
      </c>
      <c r="J10" s="1">
        <f t="shared" si="4"/>
        <v>29.2</v>
      </c>
      <c r="K10" s="27">
        <f t="shared" si="4"/>
        <v>1.1033999999999999</v>
      </c>
      <c r="M10" s="27">
        <f t="shared" si="5"/>
        <v>1.1189</v>
      </c>
      <c r="N10" s="27">
        <f t="shared" si="0"/>
        <v>1.7043999999999999</v>
      </c>
      <c r="O10" s="27">
        <f t="shared" si="1"/>
        <v>1.1033999999999999</v>
      </c>
      <c r="Q10" s="27"/>
      <c r="R10" s="27"/>
      <c r="S10" s="27"/>
      <c r="U10" s="27" cm="1">
        <f t="array" ref="U10:U15">G4:G9</f>
        <v>1.1251</v>
      </c>
      <c r="V10" s="27" cm="1">
        <f t="array" ref="V10:V15">G10:G15</f>
        <v>1.7043999999999999</v>
      </c>
    </row>
    <row r="11" spans="1:22" x14ac:dyDescent="0.2">
      <c r="A11" s="1">
        <v>11</v>
      </c>
      <c r="B11" s="1">
        <f t="shared" si="2"/>
        <v>30.8</v>
      </c>
      <c r="C11" s="27">
        <f t="shared" si="2"/>
        <v>1.518</v>
      </c>
      <c r="E11" s="1">
        <v>11</v>
      </c>
      <c r="F11" s="1">
        <f t="shared" si="3"/>
        <v>36.9</v>
      </c>
      <c r="G11" s="27">
        <f t="shared" si="3"/>
        <v>1.7942</v>
      </c>
      <c r="I11" s="1">
        <v>11</v>
      </c>
      <c r="J11" s="1">
        <f t="shared" si="4"/>
        <v>36.1</v>
      </c>
      <c r="K11" s="27">
        <f t="shared" si="4"/>
        <v>1.4641999999999999</v>
      </c>
      <c r="M11" s="27">
        <f t="shared" si="5"/>
        <v>1.518</v>
      </c>
      <c r="N11" s="27">
        <f t="shared" si="0"/>
        <v>1.7942</v>
      </c>
      <c r="O11" s="27">
        <f t="shared" si="1"/>
        <v>1.4641999999999999</v>
      </c>
      <c r="Q11" s="27"/>
      <c r="R11" s="27"/>
      <c r="S11" s="27"/>
      <c r="U11" s="1">
        <v>1.7471000000000001</v>
      </c>
      <c r="V11" s="1">
        <v>1.7942</v>
      </c>
    </row>
    <row r="12" spans="1:22" x14ac:dyDescent="0.2">
      <c r="A12" s="1">
        <v>12</v>
      </c>
      <c r="B12" s="1">
        <f t="shared" si="2"/>
        <v>24.6</v>
      </c>
      <c r="C12" s="27">
        <f t="shared" si="2"/>
        <v>0.60750000000000004</v>
      </c>
      <c r="E12" s="1">
        <v>12</v>
      </c>
      <c r="F12" s="1">
        <f t="shared" si="3"/>
        <v>29.5</v>
      </c>
      <c r="G12" s="27">
        <f t="shared" si="3"/>
        <v>1.35</v>
      </c>
      <c r="I12" s="1">
        <v>12</v>
      </c>
      <c r="J12" s="1">
        <f t="shared" si="4"/>
        <v>28.9</v>
      </c>
      <c r="K12" s="27">
        <f t="shared" si="4"/>
        <v>1.0248999999999999</v>
      </c>
      <c r="M12" s="27">
        <f t="shared" si="5"/>
        <v>0.60750000000000004</v>
      </c>
      <c r="N12" s="27">
        <f t="shared" si="0"/>
        <v>1.35</v>
      </c>
      <c r="O12" s="27">
        <f>K12</f>
        <v>1.0248999999999999</v>
      </c>
      <c r="Q12" s="27"/>
      <c r="R12" s="27"/>
      <c r="S12" s="27"/>
      <c r="U12" s="1">
        <v>1.1477999999999999</v>
      </c>
      <c r="V12" s="1">
        <v>1.35</v>
      </c>
    </row>
    <row r="13" spans="1:22" x14ac:dyDescent="0.2">
      <c r="A13" s="1">
        <v>13</v>
      </c>
      <c r="B13" s="1">
        <f t="shared" si="2"/>
        <v>30.8</v>
      </c>
      <c r="C13" s="27">
        <f t="shared" si="2"/>
        <v>1.4839</v>
      </c>
      <c r="E13" s="1">
        <v>13</v>
      </c>
      <c r="F13" s="1">
        <f t="shared" si="3"/>
        <v>36.9</v>
      </c>
      <c r="G13" s="27">
        <f t="shared" si="3"/>
        <v>2.0055999999999998</v>
      </c>
      <c r="I13" s="1">
        <v>13</v>
      </c>
      <c r="J13" s="1">
        <f t="shared" si="4"/>
        <v>36.200000000000003</v>
      </c>
      <c r="K13" s="27">
        <f t="shared" si="4"/>
        <v>0.92620000000000002</v>
      </c>
      <c r="M13" s="27">
        <f t="shared" si="5"/>
        <v>1.4839</v>
      </c>
      <c r="N13" s="27">
        <f t="shared" si="0"/>
        <v>2.0055999999999998</v>
      </c>
      <c r="O13" s="27">
        <f t="shared" si="1"/>
        <v>0.92620000000000002</v>
      </c>
      <c r="Q13" s="27"/>
      <c r="R13" s="27"/>
      <c r="S13" s="27"/>
      <c r="U13" s="1">
        <v>1.7310000000000001</v>
      </c>
      <c r="V13" s="1">
        <v>2.0055999999999998</v>
      </c>
    </row>
    <row r="14" spans="1:22" x14ac:dyDescent="0.2">
      <c r="A14" s="1">
        <v>14</v>
      </c>
      <c r="B14" s="1">
        <f t="shared" si="2"/>
        <v>24.6</v>
      </c>
      <c r="C14" s="27">
        <f t="shared" si="2"/>
        <v>0.81379999999999997</v>
      </c>
      <c r="E14" s="1">
        <v>14</v>
      </c>
      <c r="F14" s="1">
        <f t="shared" si="3"/>
        <v>29.8</v>
      </c>
      <c r="G14" s="27">
        <f t="shared" si="3"/>
        <v>1.4959</v>
      </c>
      <c r="I14" s="1">
        <v>14</v>
      </c>
      <c r="J14" s="1">
        <f t="shared" si="4"/>
        <v>29.2</v>
      </c>
      <c r="K14" s="27">
        <f t="shared" si="4"/>
        <v>0.82030000000000003</v>
      </c>
      <c r="M14" s="27">
        <f t="shared" si="5"/>
        <v>0.81379999999999997</v>
      </c>
      <c r="N14" s="27">
        <f t="shared" si="0"/>
        <v>1.4959</v>
      </c>
      <c r="O14" s="27">
        <f t="shared" si="1"/>
        <v>0.82030000000000003</v>
      </c>
      <c r="Q14" s="27"/>
      <c r="R14" s="27"/>
      <c r="S14" s="27"/>
      <c r="U14" s="1">
        <v>1.2306999999999999</v>
      </c>
      <c r="V14" s="1">
        <v>1.4959</v>
      </c>
    </row>
    <row r="15" spans="1:22" x14ac:dyDescent="0.2">
      <c r="A15" s="1">
        <v>15</v>
      </c>
      <c r="B15" s="1">
        <f t="shared" si="2"/>
        <v>30.4</v>
      </c>
      <c r="C15" s="27">
        <f t="shared" si="2"/>
        <v>1.3223</v>
      </c>
      <c r="E15" s="1">
        <v>15</v>
      </c>
      <c r="F15" s="1">
        <f t="shared" si="3"/>
        <v>36.799999999999997</v>
      </c>
      <c r="G15" s="27">
        <f t="shared" si="3"/>
        <v>1.401</v>
      </c>
      <c r="I15" s="1">
        <v>15</v>
      </c>
      <c r="J15" s="1">
        <f t="shared" si="4"/>
        <v>35.9</v>
      </c>
      <c r="K15" s="27">
        <f t="shared" si="4"/>
        <v>1.1318999999999999</v>
      </c>
      <c r="M15" s="27">
        <f t="shared" si="5"/>
        <v>1.3223</v>
      </c>
      <c r="N15" s="27">
        <f t="shared" si="0"/>
        <v>1.401</v>
      </c>
      <c r="O15" s="27">
        <f t="shared" si="1"/>
        <v>1.1318999999999999</v>
      </c>
      <c r="Q15" s="27"/>
      <c r="R15" s="27"/>
      <c r="S15" s="27"/>
      <c r="U15" s="1">
        <v>1.5125999999999999</v>
      </c>
      <c r="V15" s="1">
        <v>1.401</v>
      </c>
    </row>
    <row r="16" spans="1:22" ht="41.25" x14ac:dyDescent="0.2">
      <c r="A16" s="1" t="s">
        <v>42</v>
      </c>
      <c r="B16" s="1" t="s">
        <v>45</v>
      </c>
      <c r="C16" s="27"/>
      <c r="G16" s="27"/>
      <c r="K16" s="27"/>
      <c r="U16" s="27" cm="1">
        <f t="array" ref="U16:U21">K4:K9</f>
        <v>1.0670999999999999</v>
      </c>
      <c r="V16" s="27" cm="1">
        <f t="array" ref="V16:V21">K10:K15</f>
        <v>1.1033999999999999</v>
      </c>
    </row>
    <row r="17" spans="1:22" x14ac:dyDescent="0.2">
      <c r="A17" s="1">
        <v>2</v>
      </c>
      <c r="B17" s="27">
        <f>AVERAGE(M4:O9)</f>
        <v>1.0843777777777777</v>
      </c>
      <c r="U17" s="1">
        <v>1.5927</v>
      </c>
      <c r="V17" s="1">
        <v>1.4641999999999999</v>
      </c>
    </row>
    <row r="18" spans="1:22" x14ac:dyDescent="0.2">
      <c r="A18" s="1">
        <v>3</v>
      </c>
      <c r="B18" s="27">
        <f>AVERAGE(M10:O15)</f>
        <v>1.2825777777777776</v>
      </c>
      <c r="U18" s="1">
        <v>0.85489999999999999</v>
      </c>
      <c r="V18" s="1">
        <v>1.0248999999999999</v>
      </c>
    </row>
    <row r="19" spans="1:22" x14ac:dyDescent="0.2">
      <c r="B19" s="27"/>
      <c r="U19" s="1">
        <v>1.2203999999999999</v>
      </c>
      <c r="V19" s="1">
        <v>0.92620000000000002</v>
      </c>
    </row>
    <row r="20" spans="1:22" x14ac:dyDescent="0.2">
      <c r="U20" s="1">
        <v>0.63260000000000005</v>
      </c>
      <c r="V20" s="1">
        <v>0.82030000000000003</v>
      </c>
    </row>
    <row r="21" spans="1:22" ht="27.75" x14ac:dyDescent="0.2">
      <c r="A21" s="1" t="s">
        <v>40</v>
      </c>
      <c r="B21" s="79">
        <f>(1-B17/B18)</f>
        <v>0.15453253863746619</v>
      </c>
      <c r="U21" s="1">
        <v>1.1698999999999999</v>
      </c>
      <c r="V21" s="1">
        <v>1.1318999999999999</v>
      </c>
    </row>
    <row r="34" spans="1:14" x14ac:dyDescent="0.2">
      <c r="A34" s="1" t="s">
        <v>35</v>
      </c>
      <c r="F34" s="1" t="s">
        <v>36</v>
      </c>
      <c r="K34" s="1" t="s">
        <v>37</v>
      </c>
    </row>
    <row r="35" spans="1:14" ht="41.25" x14ac:dyDescent="0.2">
      <c r="A35" s="1" t="s">
        <v>2</v>
      </c>
      <c r="B35" s="1" t="s">
        <v>5</v>
      </c>
      <c r="C35" s="1" t="s">
        <v>6</v>
      </c>
      <c r="D35" s="1" t="s">
        <v>10</v>
      </c>
      <c r="F35" s="1" t="s">
        <v>2</v>
      </c>
      <c r="G35" s="1" t="s">
        <v>5</v>
      </c>
      <c r="H35" s="1" t="s">
        <v>6</v>
      </c>
      <c r="I35" s="1" t="s">
        <v>10</v>
      </c>
      <c r="K35" s="1" t="s">
        <v>2</v>
      </c>
      <c r="L35" s="1" t="s">
        <v>5</v>
      </c>
      <c r="M35" s="1" t="s">
        <v>6</v>
      </c>
      <c r="N35" s="1" t="s">
        <v>10</v>
      </c>
    </row>
    <row r="36" spans="1:14" x14ac:dyDescent="0.2">
      <c r="A36" s="1">
        <v>1</v>
      </c>
      <c r="B36" s="1" t="s">
        <v>16</v>
      </c>
      <c r="C36" s="1">
        <v>61.3</v>
      </c>
      <c r="D36" s="1">
        <v>3.4478</v>
      </c>
      <c r="F36" s="1">
        <v>1</v>
      </c>
      <c r="G36" s="1" t="s">
        <v>16</v>
      </c>
      <c r="H36" s="1">
        <v>73</v>
      </c>
      <c r="I36" s="1">
        <v>2.6981999999999999</v>
      </c>
      <c r="K36" s="1">
        <v>1</v>
      </c>
      <c r="L36" s="1" t="s">
        <v>16</v>
      </c>
      <c r="M36" s="1">
        <v>74.599999999999994</v>
      </c>
      <c r="N36" s="1">
        <v>3.56</v>
      </c>
    </row>
    <row r="37" spans="1:14" x14ac:dyDescent="0.2">
      <c r="A37" s="1">
        <v>2</v>
      </c>
      <c r="B37" s="1">
        <v>2</v>
      </c>
      <c r="C37" s="1">
        <v>20</v>
      </c>
      <c r="D37" s="1">
        <v>0.68210000000000004</v>
      </c>
      <c r="F37" s="1">
        <v>2</v>
      </c>
      <c r="G37" s="1">
        <v>2</v>
      </c>
      <c r="H37" s="1">
        <v>16.7</v>
      </c>
      <c r="I37" s="1">
        <v>0.64910000000000001</v>
      </c>
      <c r="K37" s="1">
        <v>2</v>
      </c>
      <c r="L37" s="1">
        <v>2</v>
      </c>
      <c r="M37" s="1">
        <v>18</v>
      </c>
      <c r="N37" s="1">
        <v>0.75680000000000003</v>
      </c>
    </row>
    <row r="38" spans="1:14" x14ac:dyDescent="0.2">
      <c r="A38" s="1">
        <v>3</v>
      </c>
      <c r="B38" s="1">
        <v>3</v>
      </c>
      <c r="C38" s="1">
        <v>25.5</v>
      </c>
      <c r="D38" s="1">
        <v>0.85670000000000002</v>
      </c>
      <c r="F38" s="1">
        <v>3</v>
      </c>
      <c r="G38" s="1">
        <v>3</v>
      </c>
      <c r="H38" s="1">
        <v>24.1</v>
      </c>
      <c r="I38" s="1">
        <v>0.69299999999999995</v>
      </c>
      <c r="K38" s="1">
        <v>3</v>
      </c>
      <c r="L38" s="1">
        <v>3</v>
      </c>
      <c r="M38" s="1">
        <v>26.7</v>
      </c>
      <c r="N38" s="1">
        <v>0.59799999999999998</v>
      </c>
    </row>
    <row r="39" spans="1:14" x14ac:dyDescent="0.2">
      <c r="A39" s="1">
        <v>4</v>
      </c>
      <c r="B39" s="1">
        <v>2</v>
      </c>
      <c r="C39" s="1">
        <v>19.2</v>
      </c>
      <c r="D39" s="1">
        <v>0.50519999999999998</v>
      </c>
      <c r="F39" s="1">
        <v>4</v>
      </c>
      <c r="G39" s="1">
        <v>2</v>
      </c>
      <c r="H39" s="1">
        <v>23</v>
      </c>
      <c r="I39" s="1">
        <v>1.1251</v>
      </c>
      <c r="K39" s="1">
        <v>4</v>
      </c>
      <c r="L39" s="1">
        <v>2</v>
      </c>
      <c r="M39" s="1">
        <v>24.4</v>
      </c>
      <c r="N39" s="1">
        <v>1.0670999999999999</v>
      </c>
    </row>
    <row r="40" spans="1:14" x14ac:dyDescent="0.2">
      <c r="A40" s="1">
        <v>5</v>
      </c>
      <c r="B40" s="1">
        <v>2</v>
      </c>
      <c r="C40" s="1">
        <v>26</v>
      </c>
      <c r="D40" s="1">
        <v>0.88429999999999997</v>
      </c>
      <c r="F40" s="1">
        <v>5</v>
      </c>
      <c r="G40" s="1">
        <v>2</v>
      </c>
      <c r="H40" s="1">
        <v>35.1</v>
      </c>
      <c r="I40" s="1">
        <v>1.7471000000000001</v>
      </c>
      <c r="K40" s="1">
        <v>5</v>
      </c>
      <c r="L40" s="1">
        <v>2</v>
      </c>
      <c r="M40" s="1">
        <v>35.5</v>
      </c>
      <c r="N40" s="1">
        <v>1.5927</v>
      </c>
    </row>
    <row r="41" spans="1:14" x14ac:dyDescent="0.2">
      <c r="A41" s="1">
        <v>6</v>
      </c>
      <c r="B41" s="1">
        <v>2</v>
      </c>
      <c r="C41" s="1">
        <v>19</v>
      </c>
      <c r="D41" s="1">
        <v>0.4627</v>
      </c>
      <c r="F41" s="1">
        <v>6</v>
      </c>
      <c r="G41" s="1">
        <v>2</v>
      </c>
      <c r="H41" s="1">
        <v>22.9</v>
      </c>
      <c r="I41" s="1">
        <v>1.1477999999999999</v>
      </c>
      <c r="K41" s="1">
        <v>6</v>
      </c>
      <c r="L41" s="1">
        <v>2</v>
      </c>
      <c r="M41" s="1">
        <v>22.5</v>
      </c>
      <c r="N41" s="1">
        <v>0.85489999999999999</v>
      </c>
    </row>
    <row r="42" spans="1:14" x14ac:dyDescent="0.2">
      <c r="A42" s="1">
        <v>7</v>
      </c>
      <c r="B42" s="1">
        <v>2</v>
      </c>
      <c r="C42" s="1">
        <v>26.1</v>
      </c>
      <c r="D42" s="1">
        <v>1.1915</v>
      </c>
      <c r="F42" s="1">
        <v>7</v>
      </c>
      <c r="G42" s="1">
        <v>2</v>
      </c>
      <c r="H42" s="1">
        <v>31.3</v>
      </c>
      <c r="I42" s="1">
        <v>1.7310000000000001</v>
      </c>
      <c r="K42" s="1">
        <v>7</v>
      </c>
      <c r="L42" s="1">
        <v>2</v>
      </c>
      <c r="M42" s="1">
        <v>30.8</v>
      </c>
      <c r="N42" s="1">
        <v>1.2203999999999999</v>
      </c>
    </row>
    <row r="43" spans="1:14" x14ac:dyDescent="0.2">
      <c r="A43" s="1">
        <v>8</v>
      </c>
      <c r="B43" s="1">
        <v>2</v>
      </c>
      <c r="C43" s="1">
        <v>19</v>
      </c>
      <c r="D43" s="1">
        <v>0.8357</v>
      </c>
      <c r="F43" s="1">
        <v>8</v>
      </c>
      <c r="G43" s="1">
        <v>2</v>
      </c>
      <c r="H43" s="1">
        <v>23</v>
      </c>
      <c r="I43" s="1">
        <v>1.2306999999999999</v>
      </c>
      <c r="K43" s="1">
        <v>8</v>
      </c>
      <c r="L43" s="1">
        <v>2</v>
      </c>
      <c r="M43" s="1">
        <v>22.6</v>
      </c>
      <c r="N43" s="1">
        <v>0.63260000000000005</v>
      </c>
    </row>
    <row r="44" spans="1:14" x14ac:dyDescent="0.2">
      <c r="A44" s="1">
        <v>9</v>
      </c>
      <c r="B44" s="1">
        <v>2</v>
      </c>
      <c r="C44" s="1">
        <v>25.6</v>
      </c>
      <c r="D44" s="1">
        <v>0.60750000000000004</v>
      </c>
      <c r="F44" s="1">
        <v>9</v>
      </c>
      <c r="G44" s="1">
        <v>2</v>
      </c>
      <c r="H44" s="1">
        <v>31</v>
      </c>
      <c r="I44" s="1">
        <v>1.5125999999999999</v>
      </c>
      <c r="K44" s="1">
        <v>9</v>
      </c>
      <c r="L44" s="1">
        <v>2</v>
      </c>
      <c r="M44" s="1">
        <v>30.5</v>
      </c>
      <c r="N44" s="1">
        <v>1.1698999999999999</v>
      </c>
    </row>
    <row r="45" spans="1:14" x14ac:dyDescent="0.2">
      <c r="A45" s="1">
        <v>10</v>
      </c>
      <c r="B45" s="1">
        <v>3</v>
      </c>
      <c r="C45" s="1">
        <v>24.5</v>
      </c>
      <c r="D45" s="1">
        <v>1.1189</v>
      </c>
      <c r="F45" s="1">
        <v>10</v>
      </c>
      <c r="G45" s="1">
        <v>3</v>
      </c>
      <c r="H45" s="1">
        <v>29.6</v>
      </c>
      <c r="I45" s="1">
        <v>1.7043999999999999</v>
      </c>
      <c r="K45" s="1">
        <v>10</v>
      </c>
      <c r="L45" s="1">
        <v>3</v>
      </c>
      <c r="M45" s="1">
        <v>29.2</v>
      </c>
      <c r="N45" s="1">
        <v>1.1033999999999999</v>
      </c>
    </row>
    <row r="46" spans="1:14" x14ac:dyDescent="0.2">
      <c r="A46" s="1">
        <v>11</v>
      </c>
      <c r="B46" s="1">
        <v>3</v>
      </c>
      <c r="C46" s="1">
        <v>30.8</v>
      </c>
      <c r="D46" s="1">
        <v>1.518</v>
      </c>
      <c r="F46" s="1">
        <v>11</v>
      </c>
      <c r="G46" s="1">
        <v>3</v>
      </c>
      <c r="H46" s="1">
        <v>36.9</v>
      </c>
      <c r="I46" s="1">
        <v>1.7942</v>
      </c>
      <c r="K46" s="1">
        <v>11</v>
      </c>
      <c r="L46" s="1">
        <v>3</v>
      </c>
      <c r="M46" s="1">
        <v>36.1</v>
      </c>
      <c r="N46" s="1">
        <v>1.4641999999999999</v>
      </c>
    </row>
    <row r="47" spans="1:14" x14ac:dyDescent="0.2">
      <c r="A47" s="1">
        <v>12</v>
      </c>
      <c r="B47" s="1">
        <v>3</v>
      </c>
      <c r="C47" s="1">
        <v>24.6</v>
      </c>
      <c r="D47" s="1">
        <v>0.60750000000000004</v>
      </c>
      <c r="F47" s="1">
        <v>12</v>
      </c>
      <c r="G47" s="1">
        <v>3</v>
      </c>
      <c r="H47" s="1">
        <v>29.5</v>
      </c>
      <c r="I47" s="1">
        <v>1.35</v>
      </c>
      <c r="K47" s="1">
        <v>12</v>
      </c>
      <c r="L47" s="1">
        <v>3</v>
      </c>
      <c r="M47" s="1">
        <v>28.9</v>
      </c>
      <c r="N47" s="1">
        <v>1.0248999999999999</v>
      </c>
    </row>
    <row r="48" spans="1:14" x14ac:dyDescent="0.2">
      <c r="A48" s="1">
        <v>13</v>
      </c>
      <c r="B48" s="1">
        <v>3</v>
      </c>
      <c r="C48" s="1">
        <v>30.8</v>
      </c>
      <c r="D48" s="1">
        <v>1.4839</v>
      </c>
      <c r="F48" s="1">
        <v>13</v>
      </c>
      <c r="G48" s="1">
        <v>3</v>
      </c>
      <c r="H48" s="1">
        <v>36.9</v>
      </c>
      <c r="I48" s="1">
        <v>2.0055999999999998</v>
      </c>
      <c r="K48" s="1">
        <v>13</v>
      </c>
      <c r="L48" s="1">
        <v>3</v>
      </c>
      <c r="M48" s="1">
        <v>36.200000000000003</v>
      </c>
      <c r="N48" s="1">
        <v>0.92620000000000002</v>
      </c>
    </row>
    <row r="49" spans="1:14" x14ac:dyDescent="0.2">
      <c r="A49" s="1">
        <v>14</v>
      </c>
      <c r="B49" s="1">
        <v>3</v>
      </c>
      <c r="C49" s="1">
        <v>24.6</v>
      </c>
      <c r="D49" s="1">
        <v>0.81379999999999997</v>
      </c>
      <c r="F49" s="1">
        <v>14</v>
      </c>
      <c r="G49" s="1">
        <v>3</v>
      </c>
      <c r="H49" s="1">
        <v>29.8</v>
      </c>
      <c r="I49" s="1">
        <v>1.4959</v>
      </c>
      <c r="K49" s="1">
        <v>14</v>
      </c>
      <c r="L49" s="1">
        <v>3</v>
      </c>
      <c r="M49" s="1">
        <v>29.2</v>
      </c>
      <c r="N49" s="1">
        <v>0.82030000000000003</v>
      </c>
    </row>
    <row r="50" spans="1:14" x14ac:dyDescent="0.2">
      <c r="A50" s="1">
        <v>15</v>
      </c>
      <c r="B50" s="1">
        <v>3</v>
      </c>
      <c r="C50" s="1">
        <v>30.4</v>
      </c>
      <c r="D50" s="1">
        <v>1.3223</v>
      </c>
      <c r="F50" s="1">
        <v>15</v>
      </c>
      <c r="G50" s="1">
        <v>3</v>
      </c>
      <c r="H50" s="1">
        <v>36.799999999999997</v>
      </c>
      <c r="I50" s="1">
        <v>1.401</v>
      </c>
      <c r="K50" s="1">
        <v>15</v>
      </c>
      <c r="L50" s="1">
        <v>3</v>
      </c>
      <c r="M50" s="1">
        <v>35.9</v>
      </c>
      <c r="N50" s="1">
        <v>1.1318999999999999</v>
      </c>
    </row>
  </sheetData>
  <mergeCells count="5">
    <mergeCell ref="Q1:S2"/>
    <mergeCell ref="A2:C2"/>
    <mergeCell ref="E2:G2"/>
    <mergeCell ref="I2:K2"/>
    <mergeCell ref="U2:V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a98d76-48ed-45fd-ab0b-e4b7ffcda5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6FFE7F7E9EF4D8FAC59DB6CB69F43" ma:contentTypeVersion="9" ma:contentTypeDescription="Create a new document." ma:contentTypeScope="" ma:versionID="435335b9e009e764d919c80e33dad80e">
  <xsd:schema xmlns:xsd="http://www.w3.org/2001/XMLSchema" xmlns:xs="http://www.w3.org/2001/XMLSchema" xmlns:p="http://schemas.microsoft.com/office/2006/metadata/properties" xmlns:ns3="54a98d76-48ed-45fd-ab0b-e4b7ffcda555" targetNamespace="http://schemas.microsoft.com/office/2006/metadata/properties" ma:root="true" ma:fieldsID="cfd000f4a97d8e7d64087886a32ba32b" ns3:_="">
    <xsd:import namespace="54a98d76-48ed-45fd-ab0b-e4b7ffcda5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8d76-48ed-45fd-ab0b-e4b7ffcda5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B1A835-769E-400C-ADFF-5263AE465142}">
  <ds:schemaRefs>
    <ds:schemaRef ds:uri="http://schemas.microsoft.com/office/2006/metadata/properties"/>
    <ds:schemaRef ds:uri="http://www.w3.org/2000/xmlns/"/>
    <ds:schemaRef ds:uri="54a98d76-48ed-45fd-ab0b-e4b7ffcda555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5F0CC986-5614-4490-AD99-F4FB82ADD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EF2E01-07DD-465E-BDF0-C079138A3AC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4a98d76-48ed-45fd-ab0b-e4b7ffcda555"/>
  </ds:schemaRefs>
</ds:datastoreItem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ABS</vt:lpstr>
      <vt:lpstr>PLA</vt:lpstr>
      <vt:lpstr>PETG</vt:lpstr>
      <vt:lpstr>Index Chart</vt:lpstr>
      <vt:lpstr>Infill Style Comparison - UTS</vt:lpstr>
      <vt:lpstr>Infill Style Comparison - MoE</vt:lpstr>
      <vt:lpstr>Infill Style Comparison - MoR</vt:lpstr>
      <vt:lpstr>Infill Style Comparison - YS</vt:lpstr>
      <vt:lpstr>Infill Density Comparison - UTS</vt:lpstr>
      <vt:lpstr>Infill Density Comparison - MoE</vt:lpstr>
      <vt:lpstr>Infill Density Comparison - MoR</vt:lpstr>
      <vt:lpstr>Infill Density Comparison - YS</vt:lpstr>
      <vt:lpstr>Material Comparison - UTS</vt:lpstr>
      <vt:lpstr>Material Comparison - MoE</vt:lpstr>
      <vt:lpstr>Material Comparison - MoR</vt:lpstr>
      <vt:lpstr>Material Comparison - YS</vt:lpstr>
      <vt:lpstr>Perimeter Comparison - UTS</vt:lpstr>
      <vt:lpstr>Perimeter Comparison - MoE</vt:lpstr>
      <vt:lpstr>Perimeter Comparison - MoR</vt:lpstr>
      <vt:lpstr>Perimeter Comparison - 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Hale, Larsen Michael</dc:creator>
  <cp:keywords/>
  <dc:description/>
  <cp:lastModifiedBy>Hale, Larsen Michael</cp:lastModifiedBy>
  <cp:revision/>
  <dcterms:created xsi:type="dcterms:W3CDTF">2026-02-27T20:39:22Z</dcterms:created>
  <dcterms:modified xsi:type="dcterms:W3CDTF">2026-05-06T20:50:40Z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0x010100D306FFE7F7E9EF4D8FAC59DB6CB69F43</vt:lpwstr>
  </property>
</Properties>
</file>